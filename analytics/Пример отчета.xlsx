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8.12-31.12" sheetId="1" r:id="rId5"/>
    <sheet state="hidden" name="30.11-04.12" sheetId="2" r:id="rId6"/>
    <sheet state="hidden" name="21.12-25.12" sheetId="3" r:id="rId7"/>
    <sheet state="hidden" name="14.12-18.12" sheetId="4" r:id="rId8"/>
    <sheet state="hidden" name="18.01-22.01" sheetId="5" r:id="rId9"/>
    <sheet state="hidden" name="25.01-29.01" sheetId="6" r:id="rId10"/>
    <sheet state="hidden" name="01.02-05.02" sheetId="7" r:id="rId11"/>
    <sheet state="hidden" name="08.02-12.02" sheetId="8" r:id="rId12"/>
    <sheet state="hidden" name="15.02-20.02 " sheetId="9" r:id="rId13"/>
    <sheet state="visible" name="Расходы" sheetId="10" r:id="rId14"/>
  </sheets>
  <definedNames/>
  <calcPr/>
</workbook>
</file>

<file path=xl/sharedStrings.xml><?xml version="1.0" encoding="utf-8"?>
<sst xmlns="http://schemas.openxmlformats.org/spreadsheetml/2006/main" count="2897" uniqueCount="1066">
  <si>
    <t>Задача</t>
  </si>
  <si>
    <t>Срок</t>
  </si>
  <si>
    <t>Выполнение</t>
  </si>
  <si>
    <t>Комментарий</t>
  </si>
  <si>
    <t>Горчакова Евгения Олеговна, маркетолог- аналитик ⍨</t>
  </si>
  <si>
    <t>Информация для ВЭД по NPK удобрениям</t>
  </si>
  <si>
    <t>задача перенесена на 12.01.2021</t>
  </si>
  <si>
    <t>Подготовка презентации на 11.01.2021</t>
  </si>
  <si>
    <t>в работе</t>
  </si>
  <si>
    <t>Ковряков Сергей Викторович, интернет- маркетолог</t>
  </si>
  <si>
    <t>Мониторинг аналитики по нашим ресурсам</t>
  </si>
  <si>
    <t>ежедневно</t>
  </si>
  <si>
    <t>SERM</t>
  </si>
  <si>
    <t>Мониторинг ресурсов конкурентов на наличие измененеий и улучшений</t>
  </si>
  <si>
    <t>еженедельно (вт,пт)</t>
  </si>
  <si>
    <t>Наполнение ресурсов (соцсети, сайт) контентом</t>
  </si>
  <si>
    <t>ПМП</t>
  </si>
  <si>
    <t>по мере поступления</t>
  </si>
  <si>
    <t>Создание почт для новых сотрудников</t>
  </si>
  <si>
    <t>по мере прихода новых сотрудников</t>
  </si>
  <si>
    <t>Помощь Ирине в составлении сравнительной таблицы конкурентов по активности</t>
  </si>
  <si>
    <t>по мере появления и обнаружения новых активностей таблица дополняется</t>
  </si>
  <si>
    <t>Настроить цели в Метрике</t>
  </si>
  <si>
    <t>выполнено</t>
  </si>
  <si>
    <t>Разместить поздравление с НГ в соцсети</t>
  </si>
  <si>
    <t>до 30.12.2020</t>
  </si>
  <si>
    <t>Сверка английских текстов по верстке, посильная вычитка</t>
  </si>
  <si>
    <t>Корректировка инфы в "Полезном" согласно актуальному каталогу</t>
  </si>
  <si>
    <t>Тестирование русской версии сайта, выявление ошибок и багов, внесение доп. информации</t>
  </si>
  <si>
    <t>11.2020-12.2020</t>
  </si>
  <si>
    <t>24.12 отправлены новые пожелания с нашей стороны</t>
  </si>
  <si>
    <t>Подготовка инфы для Казахской и английской версий сайта</t>
  </si>
  <si>
    <r>
      <rPr>
        <rFont val="Arial"/>
        <sz val="10.0"/>
      </rPr>
      <t xml:space="preserve">Утвердить, какое юр. лицо вносить как представителя ГК Шанс, завести спец. почту и начать регистрировать на нее учётки на подходящих ресурсах из списка: </t>
    </r>
    <r>
      <rPr>
        <rFont val="Arial"/>
        <color rgb="FF1155CC"/>
        <sz val="10.0"/>
        <u/>
      </rPr>
      <t>https://soltyk.ru/shkola-seo/vneshnyaya-optimizacziya-sajta/dobavlyaem-kompaniyu-v-spravochniki</t>
    </r>
  </si>
  <si>
    <t>Подумать, как связать ГК Шанс, Шанс Трейд и Шанс Энтерпрайз</t>
  </si>
  <si>
    <t>Совместно с Таней подготовить текст по борьбе с подделками</t>
  </si>
  <si>
    <t>тезисно набросал, отправил Тане на наполнение текстом</t>
  </si>
  <si>
    <t>С Таней отобрать и актуализировать контент в разделе "Галерея"</t>
  </si>
  <si>
    <t>Не забыть решить вопрос с оплатой доменов и хостингов!</t>
  </si>
  <si>
    <r>
      <rPr>
        <rFont val="Arial"/>
        <color rgb="FF1155CC"/>
        <sz val="10.0"/>
        <u/>
      </rPr>
      <t>shans-group.com</t>
    </r>
    <r>
      <rPr>
        <rFont val="Arial"/>
        <color rgb="FF000000"/>
        <sz val="10.0"/>
      </rPr>
      <t xml:space="preserve"> оплачен, до 17.01 оплатить хостинг мтс</t>
    </r>
  </si>
  <si>
    <t>Шмойлова Екатерина, дизайнер</t>
  </si>
  <si>
    <t>Визаулизация на стенды (совместный проект с Денисом)</t>
  </si>
  <si>
    <t>Круг согласован, Челябинск и Новосибирск в работе</t>
  </si>
  <si>
    <t>Согласование и запуск в печать брошюры</t>
  </si>
  <si>
    <t>все брошюры в печати</t>
  </si>
  <si>
    <t>vip таблички в корпус №1 на завод</t>
  </si>
  <si>
    <t xml:space="preserve">Это другие таблички (про те сказали они пока не нужны (таблички на корпус 4 и 5 - макеты готовы)) </t>
  </si>
  <si>
    <t>Пакеты ПВД 10 000 шт (контроль срока изготовления)</t>
  </si>
  <si>
    <t>идет изготовление, первые 3000 шт привезли, будут подвозить по ПН до конца года</t>
  </si>
  <si>
    <t xml:space="preserve">Подготовить макет на номерки для дверей на завод, затем их согласовать и заказать ( в фирм. стиле) </t>
  </si>
  <si>
    <t>Инициатор Юля Ахо</t>
  </si>
  <si>
    <t>Подготовить макет и ТЗ на просчет скотча с лого. Согласовать с ВЭД</t>
  </si>
  <si>
    <t xml:space="preserve">в работе </t>
  </si>
  <si>
    <t>Инициатор Карташова Е. Идет изготовление, ЖДУ ПОСТАВКУ 31 числа</t>
  </si>
  <si>
    <t>Заказ на изготовление брошюр (матовая ламинация) контроль изготовления</t>
  </si>
  <si>
    <t>Биомик Актив 1 039 000 руб (оплачено 60%)</t>
  </si>
  <si>
    <t>Просчитать потребность в скотче на 6 месяцев (Завод) и передать результаты Дроновой Ю.</t>
  </si>
  <si>
    <t>Сроки изготовления и стоимость</t>
  </si>
  <si>
    <t>Брендирование Тентов на Газоны 5 шт  и Валдаи.  брендирование 4х Валдаев (бока кузова)</t>
  </si>
  <si>
    <t>Жду замеры от поклейщиков, подготовка макетов + соглосование (макет на большегрузы)</t>
  </si>
  <si>
    <t>Подготовить макеты для Людмилы (171) - для налоговой</t>
  </si>
  <si>
    <t>Макеты с логотипом Шанс Трейд</t>
  </si>
  <si>
    <t>Брендирование Грузовой ларгус - 1 шт (Шанс энерпрайз) + 3 на Шанс трейд</t>
  </si>
  <si>
    <t xml:space="preserve">макет подготовлен, согласован и отправлен в работу. жду два счета </t>
  </si>
  <si>
    <t>Заказать визитки Дятлову К. С. - директор по GR</t>
  </si>
  <si>
    <t>шелкография на бумаге тачКАВЕР - 50 шт , контроль изготовления</t>
  </si>
  <si>
    <t>кубарики и стаканчики по 100 шт на завод закинуть на просчет</t>
  </si>
  <si>
    <t>счет 45 000 рублей  передала в оплату</t>
  </si>
  <si>
    <t>Добавить все новые брошюры интерактивные в папку продавца</t>
  </si>
  <si>
    <t>Подготовить макеты на визитки и заказть их г. Рязань и Казань</t>
  </si>
  <si>
    <t>визитки заказаны, контроль печати</t>
  </si>
  <si>
    <t>Брендирование на Ростов авто</t>
  </si>
  <si>
    <t xml:space="preserve">найти РА для оклейки и отправить макеты </t>
  </si>
  <si>
    <t>Подготовить таблицу для Тренеров и распечатать 5 экземпляров (для упражнения)</t>
  </si>
  <si>
    <t>контроль изготовления</t>
  </si>
  <si>
    <t>Оформление презентации (+ рабочая тетрадь) к семинару для тренеров</t>
  </si>
  <si>
    <t>готово</t>
  </si>
  <si>
    <t>получить презентацию в электронном виде. (оформление под фирм. стиль)</t>
  </si>
  <si>
    <t xml:space="preserve">Подготовить макет на билборд 6х3м для Брянска (на согласование) </t>
  </si>
  <si>
    <t xml:space="preserve">макет а-ля как на фурах </t>
  </si>
  <si>
    <t>Подготовить макет и заказать плакетку для Милованова</t>
  </si>
  <si>
    <t>Елумеев Максим, маркетолог- аналитик</t>
  </si>
  <si>
    <t>Сбор данных по СНГ для Абдусалама</t>
  </si>
  <si>
    <t>Головина Маргарита, менеджер по рекламе, event</t>
  </si>
  <si>
    <t>Визуализация стендов с дизайнерами</t>
  </si>
  <si>
    <t>Полная визуализация стендов (весна 2021),отправка организаторам на просчет</t>
  </si>
  <si>
    <t>Создание текущих заявок на мероприятия(те,которые поступают)</t>
  </si>
  <si>
    <t>подготовка к семинару 2021 январь  - подписание  договора, счет оплата , прочие моменты по организации</t>
  </si>
  <si>
    <t>Калаев Денис, графический дизайнер</t>
  </si>
  <si>
    <t>Верстка каталогов для других стран</t>
  </si>
  <si>
    <t>жду инфу от Ирины</t>
  </si>
  <si>
    <t>Сразу после нужны будут каталоги на остальные страны СНГ</t>
  </si>
  <si>
    <t>Адаптация дизайна на все стенды 12 шт. для визуализации</t>
  </si>
  <si>
    <t>макеты готовы, в процессе визуализации</t>
  </si>
  <si>
    <t>Верстка брошур по защите от ВО (вместе с Катей)</t>
  </si>
  <si>
    <t>Заставка "Ежегодная концефренция ГК Шанс 2021" фон лого слоган</t>
  </si>
  <si>
    <t>на утверждении</t>
  </si>
  <si>
    <t>Макет на коверт</t>
  </si>
  <si>
    <t>**</t>
  </si>
  <si>
    <t>Павлова Татьяна,  пресс секретарь ∽∼</t>
  </si>
  <si>
    <t>Составление базы аграрных региональных СМИ РФ, перввая очередь- Казахстан, запросить у Кайрата</t>
  </si>
  <si>
    <t>до 20.01. 2021</t>
  </si>
  <si>
    <t>Предварительная верстка бюджета</t>
  </si>
  <si>
    <t>до 20.01. 2022</t>
  </si>
  <si>
    <t>Подготовка плана публикаций</t>
  </si>
  <si>
    <t>до 20.01. 2024</t>
  </si>
  <si>
    <t>Подготовка информации для сайта и буклета про защиту от подделок</t>
  </si>
  <si>
    <t>до 20.01. 2025</t>
  </si>
  <si>
    <t>Получение ТЗ от Кирилла по поводу видео Матрикс Код</t>
  </si>
  <si>
    <t>до 20.01. 2026</t>
  </si>
  <si>
    <t>Корректировка речи АН на семинар для представителей в январе 2021</t>
  </si>
  <si>
    <t>до 12.01. 2029</t>
  </si>
  <si>
    <t>Подготовка информации в фитосанитарный справочник Калужская обл.</t>
  </si>
  <si>
    <t>до 20.01. 2030</t>
  </si>
  <si>
    <t>Подготовка информации в фитосанитарный справочник Республика Хакасия</t>
  </si>
  <si>
    <t>до 20.01. 2031</t>
  </si>
  <si>
    <t>Наталья, 89083263506</t>
  </si>
  <si>
    <t xml:space="preserve">Новость регистрация </t>
  </si>
  <si>
    <t xml:space="preserve">Новость расширение </t>
  </si>
  <si>
    <t>Шаповалова Анастасия, дизайнер</t>
  </si>
  <si>
    <t xml:space="preserve">Просчитать в типографиях тарифную сетку </t>
  </si>
  <si>
    <t>Выполнено</t>
  </si>
  <si>
    <t>Отправила в типографии, + добавить красочность в тз, ждем просчет</t>
  </si>
  <si>
    <t>Проблемы регионов, таблица</t>
  </si>
  <si>
    <t>Проверить каталог AZE</t>
  </si>
  <si>
    <t>Отправила правки ВЭД для утверждения</t>
  </si>
  <si>
    <t xml:space="preserve">Карта лого МТС у ВВ Мелованова. Заклеить </t>
  </si>
  <si>
    <t>Шаблоны Заявка №4 препараты на наш завод</t>
  </si>
  <si>
    <t>Глифошанс, Глифошанс Супер, Дикошанс, Шансил, Шанс ДКБ, Шансгард</t>
  </si>
  <si>
    <t>Этикетки Азербайджан 42 препаратов</t>
  </si>
  <si>
    <t>В работе</t>
  </si>
  <si>
    <t>12/42 готовы</t>
  </si>
  <si>
    <t>Согласование места под QR код на этикетке</t>
  </si>
  <si>
    <t>Сильвошанс и Шанс 90</t>
  </si>
  <si>
    <t>Завод, выставочное помещение, монтаж</t>
  </si>
  <si>
    <t>Часть выполнено</t>
  </si>
  <si>
    <t xml:space="preserve">Дикошанс. Шаблон на десиканты + этикетка на печать </t>
  </si>
  <si>
    <t>Ждем</t>
  </si>
  <si>
    <t>Отправина на проверку в ВЭД</t>
  </si>
  <si>
    <t>Этикетки Грузия, Скоро будут тарники</t>
  </si>
  <si>
    <t>Цветопробы на группы препаратов + шаблоны на оставшиеся группы препаратов</t>
  </si>
  <si>
    <t>Веер вредные объекты и болезни</t>
  </si>
  <si>
    <t>Линейка агронома</t>
  </si>
  <si>
    <t>Гофрокороб. Решить вопрос с ручками</t>
  </si>
  <si>
    <t>Богатырева Ирина, бренд-менеджер</t>
  </si>
  <si>
    <t>Мониторинг конкурентов по наличию защитного комплекса препаратов на культуры</t>
  </si>
  <si>
    <t>Сравнительный анализ ассортиментной матрицы компании с продукцией конкурентов в разрезе преимуществ.</t>
  </si>
  <si>
    <t>Донести информацию о преимуществах продукции компании доя ОП</t>
  </si>
  <si>
    <t>Столярова Вера, трейд маркетолог</t>
  </si>
  <si>
    <t>Мониторинг агентств предлагающих брендирование сувениров и спец одежды выбор подрядчика</t>
  </si>
  <si>
    <t>подобрно 5 вариантов</t>
  </si>
  <si>
    <t>необходимо сделать подбор подрядчика подходящего по цене и качеству</t>
  </si>
  <si>
    <t>Казахстан ознакомление с особенностями рынка, рассмотрение возможностей по различным активностям Мониторинг рынка сбор информации о конкурентах. Подготовка информации о брендировании авто для казахстана, по запросу руководителя.</t>
  </si>
  <si>
    <t>в процессе</t>
  </si>
  <si>
    <t>Подбор агентства для брендирования в Нур Султан</t>
  </si>
  <si>
    <t>Мониторинг активностей конкурентов на 2021г.</t>
  </si>
  <si>
    <t>все что собрано предоставлено</t>
  </si>
  <si>
    <t>Мониторинг компании по брендированию сувениров узко специализированных для агрономов (рассмотрение возможности использования)</t>
  </si>
  <si>
    <t>1 компания</t>
  </si>
  <si>
    <t>Адаптация на рабочем месте, получение необходимой для работы информации, вникание в общий процесс.</t>
  </si>
  <si>
    <t>Подбор подарков и брендирования согласование с Меловановым</t>
  </si>
  <si>
    <t xml:space="preserve">Поиск вариантов подарков и согласование с Меловановым </t>
  </si>
  <si>
    <t>выполнено, счет подписан</t>
  </si>
  <si>
    <t>Проверка договора типографии в Казахстане, получение пробных каталогов, заключение договора, подписание счета.</t>
  </si>
  <si>
    <t xml:space="preserve">выполнено данные переданы </t>
  </si>
  <si>
    <t>Поиск подрядчиков для печати каталогов в Казахстане</t>
  </si>
  <si>
    <t>Подготовка к отправке комплектов полиграфии в регионы</t>
  </si>
  <si>
    <t>1 партия выполнено</t>
  </si>
  <si>
    <t>Сбор информации планирование продаж на 2021</t>
  </si>
  <si>
    <t>собрано не все регионы предоставили</t>
  </si>
  <si>
    <t xml:space="preserve">Планирование по преобретению карт для поощрения сотрудников в январе 2021 года </t>
  </si>
  <si>
    <t>выполнено в срок</t>
  </si>
  <si>
    <t>Контроль оклеивания фур</t>
  </si>
  <si>
    <t>Горчакова Евгения Олеговна, маркетолог- аналитик Ⰴ</t>
  </si>
  <si>
    <t>Клеффманн</t>
  </si>
  <si>
    <t>согласование счета</t>
  </si>
  <si>
    <t>Сдача документов по покупке исследований</t>
  </si>
  <si>
    <t>ЗАКРЫТА</t>
  </si>
  <si>
    <t>Обновление ценового мониторинга по СЗР, семенам, микроудобрениям</t>
  </si>
  <si>
    <t>с 1.12.2020 до 20.12.2020</t>
  </si>
  <si>
    <t>Подготовка материалов к совещанию 1.12.20</t>
  </si>
  <si>
    <t>закрыта</t>
  </si>
  <si>
    <t>Мониторинг конкурентов (закрытие периодов, проведение промо и др. информация)</t>
  </si>
  <si>
    <t>еженедельно</t>
  </si>
  <si>
    <t>Схема слияний и поглощений</t>
  </si>
  <si>
    <t>список производителей биопрепаратов, имеющих регистрацию на территории РФ</t>
  </si>
  <si>
    <t>по запросу ВЭД</t>
  </si>
  <si>
    <t>Информация по разработкам конкурентов (патенты)</t>
  </si>
  <si>
    <t>3-4.12.2020</t>
  </si>
  <si>
    <t>ДОБАВИТЬ НОВОСТЬ И СВ-ВО РЕГИСТРАЦИИ 
по мере поступления вносить инфу на наши ресурсы</t>
  </si>
  <si>
    <t>Монтаж видеороликов</t>
  </si>
  <si>
    <r>
      <rPr>
        <rFont val="Arial"/>
        <strike/>
        <sz val="10.0"/>
      </rPr>
      <t xml:space="preserve">Узнать у Сергея по поводу создания почты на домене </t>
    </r>
    <r>
      <rPr>
        <rFont val="Arial"/>
        <strike/>
        <color rgb="FF1155CC"/>
        <sz val="10.0"/>
      </rPr>
      <t>sh-ent.ru</t>
    </r>
  </si>
  <si>
    <t>переадресовал Ксюшу на Сергея</t>
  </si>
  <si>
    <t>Составить ТЗ по текстовке "О компании" для различных онлайн-справочников (кол-во знаков, наполнение и т.п.)</t>
  </si>
  <si>
    <t>до 02.12.2020</t>
  </si>
  <si>
    <t>сбросил примеры Камиле</t>
  </si>
  <si>
    <t>Сверить и внести в таблицу актуальные доступы по хостингу и доменам + запросить резервную копию академии</t>
  </si>
  <si>
    <t>Структурировать и свести инфу, полученную по SEO</t>
  </si>
  <si>
    <t>до 04.12.2020</t>
  </si>
  <si>
    <t>жду КП от КА Анны</t>
  </si>
  <si>
    <t>до 07.12.2020</t>
  </si>
  <si>
    <t xml:space="preserve">отправлена вторая итерация правок, в процессе подготовки третья. </t>
  </si>
  <si>
    <t>Получить и отправить разработчикам свежие брошюры в т.ч. по плодово-ягодным культурам и каталог KZ</t>
  </si>
  <si>
    <t>Жду свёрстанные макеты</t>
  </si>
  <si>
    <t>Просчёт сроков подготовки Казахской версии сайта</t>
  </si>
  <si>
    <t>Жду казахский каталог! + просчёт остальных стран СНГ помимо Казахстана</t>
  </si>
  <si>
    <r>
      <rPr>
        <rFont val="Arial"/>
        <sz val="10.0"/>
      </rPr>
      <t xml:space="preserve">Утвердить, какое юр. лицо вносить как представителя ГК Шанс, завести спец. почту и начать регистрировать на нее учётки на подходящих ресурсах из списка: </t>
    </r>
    <r>
      <rPr>
        <rFont val="Arial"/>
        <color rgb="FF1155CC"/>
        <sz val="10.0"/>
        <u/>
      </rPr>
      <t>https://soltyk.ru/shkola-seo/vneshnyaya-optimizacziya-sajta/dobavlyaem-kompaniyu-v-spravochniki</t>
    </r>
  </si>
  <si>
    <t>У Ксюши ВЭД узнать по поводу перевода сайта</t>
  </si>
  <si>
    <t>Узнать у патентных поверенных про ТРОИС и перезвонить Кате в ВЭД (185)</t>
  </si>
  <si>
    <t>инфа получена</t>
  </si>
  <si>
    <t>До 17.12 не забыть решить вопрос с оплатой доменов и хостингов!</t>
  </si>
  <si>
    <t>визаулизация (форма стендов) готовы, осталось мебель и брендирование</t>
  </si>
  <si>
    <t>Верстка новых брошюр</t>
  </si>
  <si>
    <t xml:space="preserve">брошюры сверстаны, выполняю проверку </t>
  </si>
  <si>
    <t xml:space="preserve">Заказ брендирования рено логан - 20 шт   (17 Шанс трейд + 1 Энтерпрайз) - осталось 9+1 </t>
  </si>
  <si>
    <t xml:space="preserve">9 логанов будут брендировать на выход. макеты в работе </t>
  </si>
  <si>
    <t>Заказ визиток на сотрудников ( макет  заказ визиток г. Курск) + визитки Московская команда (4 человека)</t>
  </si>
  <si>
    <t xml:space="preserve">изготовление  макета, изготовление др. визиток в типографии (контроль печати) </t>
  </si>
  <si>
    <t>Сертификаты для тренеров (макет+печать)   Борис, Саша+Михаил</t>
  </si>
  <si>
    <t xml:space="preserve">Сделать беджи для Бориса (на тренинг) </t>
  </si>
  <si>
    <t>инициатор Маргарита</t>
  </si>
  <si>
    <t>3 шт Печать для ВЭД (для Натали) - макет и заказ изготовления</t>
  </si>
  <si>
    <t>идет изготовление</t>
  </si>
  <si>
    <t>оплачено, идет изготовление, первые 3000 шт привезут 7.12.2020</t>
  </si>
  <si>
    <t>жду 2 счета     Инициатор Карташова Е. Идет изготовление</t>
  </si>
  <si>
    <t>Микроудобрения заказ каталогов</t>
  </si>
  <si>
    <t>Счет оплачен, идет изготовление. Подписать договор у Милованова передать в ШансТрейд</t>
  </si>
  <si>
    <t xml:space="preserve">Счет и спецификация на брошюры </t>
  </si>
  <si>
    <t>в оплате</t>
  </si>
  <si>
    <t>Биомик Актив 1 039 000 руб</t>
  </si>
  <si>
    <t>Подготовить презентацию Обучение (Инсектициды, акарициды, инсектоакарициды, родентициды+ заключение)</t>
  </si>
  <si>
    <t>информацию и задачу получила</t>
  </si>
  <si>
    <t xml:space="preserve">Подготовить макет Бланка и печати для ВЭД (печать заказать) </t>
  </si>
  <si>
    <t xml:space="preserve">Инициатор Наташа ВЭД (регистрация) </t>
  </si>
  <si>
    <t>Подготовить макет на поздравление с днем работника СХ + просчитать и заказать 10 плакеток. Получить список имен+ согласовать макет  с Миловановым</t>
  </si>
  <si>
    <t>Инициатор Милованов В.В. жду просчет, Жду список от Иры (116) а она от КЛОСА</t>
  </si>
  <si>
    <t>Выделить популярные препараты среди конкурентов по зарегистрированным препаратам</t>
  </si>
  <si>
    <t>разработка системы предоставления скидок</t>
  </si>
  <si>
    <t>Анализ патентов конкурентов</t>
  </si>
  <si>
    <t>выгрузил данные по РФ, обработал и передал Жене на финальную обработку.</t>
  </si>
  <si>
    <t>Выгрузить данные из медиалогии и интегрум, сравнить условия</t>
  </si>
  <si>
    <t>30.11-4.12</t>
  </si>
  <si>
    <t xml:space="preserve">создание информации в каталог Агроэкспокрым ,оправка </t>
  </si>
  <si>
    <t>Полная визуализация стендов (весна 2021)</t>
  </si>
  <si>
    <t xml:space="preserve">согласование с бренд менеджером.дополнения </t>
  </si>
  <si>
    <t>создание заявки татагроэкспо 2021,отправка организаторам</t>
  </si>
  <si>
    <t>поиск квартир для двух сотрудников(Москва)</t>
  </si>
  <si>
    <t>оформление актуальных мероприятий 2021 года (связь с организаторами,выбор места) - создание предварительных заявок</t>
  </si>
  <si>
    <t xml:space="preserve">расчет кп от них получить </t>
  </si>
  <si>
    <t>ОБРАБОТКА АНКЕТ ПРЕДСТАВИТЕЛЕЙ</t>
  </si>
  <si>
    <t xml:space="preserve">помощь Ирине </t>
  </si>
  <si>
    <t xml:space="preserve">предоставление боссу КП Меркури и Плаза </t>
  </si>
  <si>
    <t>3.12-4.12</t>
  </si>
  <si>
    <t>Финальная версия каталога СЗР 2021 для КАЗАХСТАНА</t>
  </si>
  <si>
    <t>до 20.11.2020</t>
  </si>
  <si>
    <t>до 4.12.2020</t>
  </si>
  <si>
    <t>Дизайн пакета бумажного</t>
  </si>
  <si>
    <t>до 24.11.2020</t>
  </si>
  <si>
    <t>до 27.11.2020</t>
  </si>
  <si>
    <t>Важно! И буклет Энтерпрайз, 3 сгиба, сегодня макет на печать</t>
  </si>
  <si>
    <t>Каталог Микроудобрения 2021</t>
  </si>
  <si>
    <t>Адаптация макета имиджевой рекламы и дижитальные баннеры для Агропортала</t>
  </si>
  <si>
    <t>Составление базы аграрных региональных СМИ РФ</t>
  </si>
  <si>
    <t>до 25.12. 2020</t>
  </si>
  <si>
    <t>Составление базы аграрных  СМИ СНГ</t>
  </si>
  <si>
    <t>Новость новый каталог</t>
  </si>
  <si>
    <t>Новость тульский бренд</t>
  </si>
  <si>
    <t>Новость ноутил как наши съездили</t>
  </si>
  <si>
    <t>до 03.12.2020</t>
  </si>
  <si>
    <t>Подготовка материалов для журнала "Аграрная политика"</t>
  </si>
  <si>
    <t>до 03.12. 2020</t>
  </si>
  <si>
    <t>до 25.12. 2019</t>
  </si>
  <si>
    <t>Обложка и статья в журнал "Агропромышленный журнал ЦФО"</t>
  </si>
  <si>
    <t>до 30.11.2020</t>
  </si>
  <si>
    <t>Российский аграрный портал - подготовка информации о компании, ссылки на статьи, информация для двух баннеров</t>
  </si>
  <si>
    <t>Рассылка в представительства</t>
  </si>
  <si>
    <t>добавить СМИ о нас, добавить</t>
  </si>
  <si>
    <t>Ответы агрономов на вопросы Агроинвестор по сое</t>
  </si>
  <si>
    <t>до 01.12.2020</t>
  </si>
  <si>
    <t>Подготовка информации для макета в Фитосанитарный справочник Татарстана</t>
  </si>
  <si>
    <t>Заявка препараты на Китай. Правки + подготовка под печать</t>
  </si>
  <si>
    <t>Шаблон Этикетки на Азербайджан</t>
  </si>
  <si>
    <t>Правки от Азербайджана + ВЭД</t>
  </si>
  <si>
    <t>Заявка препараты на Китай. Номер партии и дата изготовления. Подготовка под печать</t>
  </si>
  <si>
    <t>Юр. адрес азейбайджан + офис продаж</t>
  </si>
  <si>
    <t>Визуальный анализ продуктов конкурентов</t>
  </si>
  <si>
    <t>Оформать заявку на бекап.</t>
  </si>
  <si>
    <t>Обложки "Вредные объекты". Подготовка под печать, ретушь и обтравка фотографий</t>
  </si>
  <si>
    <t xml:space="preserve">Правки Этикеки китай + подготовка под печать </t>
  </si>
  <si>
    <t>Внесла правки, отправила на согласование</t>
  </si>
  <si>
    <t>Просчитать в типографиях тарифную сетку</t>
  </si>
  <si>
    <t>Отправила в типографии, ждем просчет</t>
  </si>
  <si>
    <t>Презентация о компании на английском языке</t>
  </si>
  <si>
    <t>Отправила на утверждение</t>
  </si>
  <si>
    <t>Макет для печати на Фуры</t>
  </si>
  <si>
    <t>Пересмотреть все описания препаратов совместно с ВЭД на соответствие с регламентами + исправить визуалки, каталог, сайт + отдать на перевод для стран СНГ</t>
  </si>
  <si>
    <t>Этикетки Азербайджан 45 препаратов</t>
  </si>
  <si>
    <t>Таблица по этикеткам</t>
  </si>
  <si>
    <t>Добавить все страны, актуализировать + добавить ссылки на подписи</t>
  </si>
  <si>
    <t>Подготока/написание материала по продукту для обучения новых сотрудников</t>
  </si>
  <si>
    <t>Основная часть написана, осталось заключительное слово. Возможно что-то еще.</t>
  </si>
  <si>
    <t>Сравнительный анализ конкурентов по точкам контакта с потребителем, сервису и услугам</t>
  </si>
  <si>
    <t>до 15.12.2020</t>
  </si>
  <si>
    <t>Составление портрета ЦА с учетом сегментирования потребителя.</t>
  </si>
  <si>
    <t>до 20.12.2020</t>
  </si>
  <si>
    <t>Донести информацию о преимуществах продукции компании до ОП</t>
  </si>
  <si>
    <t>Проверка макета каталога для Казахстана на предмет внесения правок</t>
  </si>
  <si>
    <t>правки переданы Денису</t>
  </si>
  <si>
    <t>Запись видео-презентации</t>
  </si>
  <si>
    <t>записан первый блок "Ввод в СЗР", ждем комментарии</t>
  </si>
  <si>
    <t>Проверка макетов тарных этикеток: Меташанс и Шансилин</t>
  </si>
  <si>
    <t>правки переданы Насте</t>
  </si>
  <si>
    <t>Обработка анкет по ЦА от ТП</t>
  </si>
  <si>
    <t>обработаны анкеты следующих регионов: Астрахань (19 шт), Башкортостан (72 шт), Белгород (24 шт), Волгоград (5 шт), Дагестан (9 шт)</t>
  </si>
  <si>
    <t>Проверка внесения правок в каталог продукции для Казахстана, согласовать макет с ВЭД</t>
  </si>
  <si>
    <t>макет каталога согласован и подписан ВЭД</t>
  </si>
  <si>
    <t>Вера Столярова, трейд маркетолог</t>
  </si>
  <si>
    <t>Мониторинг компании по брендированию сувениров узко специализированных для агрономов (рассмотрение возмоности использования)</t>
  </si>
  <si>
    <t>Подготовка информации по возможным активностям на 2021 год от нашей компании</t>
  </si>
  <si>
    <t>отправлено на рассмотрение пока без детальной проработки. Необходимо участие бренд менеджера.</t>
  </si>
  <si>
    <t>Сбор информации с подразделений по АКБ и потенциальным клиентам на территории.</t>
  </si>
  <si>
    <t>запущено</t>
  </si>
  <si>
    <t>в зависимости от возникших препятствий сроки могут быть изменены.</t>
  </si>
  <si>
    <t>Мониторинг агентств предлагающих проведение телефонного опроса потенциальных и существующих клиентов для нашей компании</t>
  </si>
  <si>
    <t>приостановлено</t>
  </si>
  <si>
    <t>Разработка анкеты для проведения телефонного опроса на предмет возможной маркетинговой деятельности на 2021 год. (поик путей возможного продвижения)</t>
  </si>
  <si>
    <t>Рыба создана, необходимо участие аналитиков</t>
  </si>
  <si>
    <t>Вспомогательные функции по внедрению обучающего порталу обучения сотрудников "Академия"</t>
  </si>
  <si>
    <t>на подхвате у сотрудников если нужна доп информация или помощь</t>
  </si>
  <si>
    <t>Контроль получения каталогов от компании caussadesemences, согласование количества, обсуждение вопросов по получению.</t>
  </si>
  <si>
    <t>каталоги получены, происходит распределение по регионам</t>
  </si>
  <si>
    <t xml:space="preserve">Помощь в мониторинге по наличию защитного комплекса препаратов на культуры </t>
  </si>
  <si>
    <t>(подготовка формы для внесения данных)</t>
  </si>
  <si>
    <t>Планирование распределения оставшейся сувенирной продукции по подразделениям (ручек, блокнотов, пакетов? ароматизаторов для автомобиля)</t>
  </si>
  <si>
    <t>распределение осуществлено, согласовано с руководителем</t>
  </si>
  <si>
    <t>Осуществление логистики с регионами отправка сувнирной продукции, календарей и каталогов., контроль отправки</t>
  </si>
  <si>
    <t>В процессе</t>
  </si>
  <si>
    <t>Проведение дополнительного мониторинга для печати брошюр, в том числе для Казахстана</t>
  </si>
  <si>
    <t>Горчакова Евгения Олеговна, маркетолог- аналитик ⌘</t>
  </si>
  <si>
    <t>Мониторинг по РФ</t>
  </si>
  <si>
    <t>закрыт</t>
  </si>
  <si>
    <t>данные без изменений</t>
  </si>
  <si>
    <t>Мониторинг по Казахстану</t>
  </si>
  <si>
    <t>Мониторинг по Азербайджану</t>
  </si>
  <si>
    <t>Прайс для Азербайджана</t>
  </si>
  <si>
    <t>согласование</t>
  </si>
  <si>
    <t>Планирование затрат по аналитике на 2021 год</t>
  </si>
  <si>
    <t>По просьбе Андрея создать общий список рассылки</t>
  </si>
  <si>
    <t>Подготовить Ире отчет по метрике по посетителям</t>
  </si>
  <si>
    <t>Подготовить ВЭД постраничную таблицу для перевода сайта</t>
  </si>
  <si>
    <t>до 23.12.2020</t>
  </si>
  <si>
    <t>отправлен текст по микроудобрениям и семенам</t>
  </si>
  <si>
    <t>Скорректировать на сайте инфу по полученным регистрациям</t>
  </si>
  <si>
    <t>Скоррекстировать список корпоративных почт с учётом уволенных сотрудников</t>
  </si>
  <si>
    <t>Разместить новости в соцсети</t>
  </si>
  <si>
    <t>23-25.12</t>
  </si>
  <si>
    <t>до 25.12.2020</t>
  </si>
  <si>
    <r>
      <rPr>
        <rFont val="Arial"/>
        <sz val="10.0"/>
      </rPr>
      <t xml:space="preserve">Утвердить, какое юр. лицо вносить как представителя ГК Шанс, завести спец. почту и начать регистрировать на нее учётки на подходящих ресурсах из списка: </t>
    </r>
    <r>
      <rPr>
        <rFont val="Arial"/>
        <color rgb="FF1155CC"/>
        <sz val="10.0"/>
        <u/>
      </rPr>
      <t>https://soltyk.ru/shkola-seo/vneshnyaya-optimizacziya-sajta/dobavlyaem-kompaniyu-v-spravochniki</t>
    </r>
  </si>
  <si>
    <r>
      <rPr>
        <rFont val="Arial"/>
        <color rgb="FF1155CC"/>
        <sz val="10.0"/>
        <u/>
      </rPr>
      <t>shans-group.com</t>
    </r>
    <r>
      <rPr>
        <rFont val="Arial"/>
        <color rgb="FF000000"/>
        <sz val="10.0"/>
      </rPr>
      <t xml:space="preserve"> оплачен, до 17.01 оплатить хостинг мтс</t>
    </r>
  </si>
  <si>
    <t>макет готов и запущен в печать</t>
  </si>
  <si>
    <t>Выделить номинантов на награждение по итогам года</t>
  </si>
  <si>
    <t>Утвердить новый прайс и залить на сайт</t>
  </si>
  <si>
    <t>Анализ плана продаж на 2021</t>
  </si>
  <si>
    <t>Агроинвестор -подача заявки на участие как спикеры</t>
  </si>
  <si>
    <t>Агрос 2021-как стать спикером. Тема и подача заявки</t>
  </si>
  <si>
    <t>тема ак и не получена,Кирилл сказал,что сам разберется</t>
  </si>
  <si>
    <t>Ссылки на таблице Гугл - конференции,круглые столы и т.п.</t>
  </si>
  <si>
    <t>поиск информации по 8 января -агросовещание Денис агрохолдинги</t>
  </si>
  <si>
    <t>21.12-25.12</t>
  </si>
  <si>
    <t>не пойму, готово ли у них или нет</t>
  </si>
  <si>
    <t>Создание текущих заявок на мероприятия(Чувашия,Татарстан)</t>
  </si>
  <si>
    <t>подготовка к семинару 2021 январь  - согласование меню и сметы вцелом)</t>
  </si>
  <si>
    <t>Верстка каталога СЗР для Азербайджана</t>
  </si>
  <si>
    <t>жду информацию</t>
  </si>
  <si>
    <t>от Насти</t>
  </si>
  <si>
    <t>Блокнот А5 обложка</t>
  </si>
  <si>
    <t>Исправление ошибок в каталоге СЗР</t>
  </si>
  <si>
    <t>до 25.01.2021</t>
  </si>
  <si>
    <t>до 30.01.2021</t>
  </si>
  <si>
    <t>до 19.01.2021</t>
  </si>
  <si>
    <t>до 21.01.2021</t>
  </si>
  <si>
    <t>добавить ссылку на фото</t>
  </si>
  <si>
    <t>счет на оплате</t>
  </si>
  <si>
    <t>Подготовка информации в фитосанитарный справочник Курган</t>
  </si>
  <si>
    <t>Подготовка информации в фитосанитарный справочник Рязань, Москва, Владимир</t>
  </si>
  <si>
    <t>Подготовка информации в фитосанитарный справочник  Иваново</t>
  </si>
  <si>
    <t>Подготовка информации в фитосанитарный справочник  Владимир</t>
  </si>
  <si>
    <t>Подготовка информации в фитосанитарный справочник Алтай</t>
  </si>
  <si>
    <t>Новость на сайт препараты новые</t>
  </si>
  <si>
    <t>до 20.01.2021</t>
  </si>
  <si>
    <t>ТЗ для агентства по размещению конкурентов в СМИ</t>
  </si>
  <si>
    <t>Полишанс + шаблон на микроудобрения</t>
  </si>
  <si>
    <t>Каналы продвижения бренда офлайн, найти информацию о продвижении конкурентов</t>
  </si>
  <si>
    <t>Каталог_AZE</t>
  </si>
  <si>
    <t>Этикетки_AZE 42 препаратов</t>
  </si>
  <si>
    <t>Донести информацию о преимуществах продукции компании для ОП</t>
  </si>
  <si>
    <t>Азербайджан  Подготовка информации о брендировании авто, в случае необходимости, проработка подбора типографии для печати каталога. Подготовка к отправке сувенирной продукции</t>
  </si>
  <si>
    <t>Подбор рекламных агентств, продвигающих прямых конкурентов, подготовка запроса.</t>
  </si>
  <si>
    <t>Проработка запроса блокнотов для анрономов</t>
  </si>
  <si>
    <t>Подготовка заявки на брендированные ручки, передача счета, контроль получения ручек</t>
  </si>
  <si>
    <t xml:space="preserve">Контроль отправки полиграфии по регионам </t>
  </si>
  <si>
    <t>(байкал сервис) Контроль за документооборотом.</t>
  </si>
  <si>
    <t>Горчакова Евгения Олеговна, маркетолог- аналитик ⌂</t>
  </si>
  <si>
    <t>Запрос от Марии и Абдусалама поиск информации по СНГ</t>
  </si>
  <si>
    <t>информация на ноутбуке</t>
  </si>
  <si>
    <t>Ценовой мониторинг по конкурентам Казахстана</t>
  </si>
  <si>
    <t>закрыт 17.12.2020</t>
  </si>
  <si>
    <t>Мониторинг аналогов микрополидоков</t>
  </si>
  <si>
    <t>закрыт 17.12.2021</t>
  </si>
  <si>
    <t>Проверка файла по прайсовым ценам (семена)</t>
  </si>
  <si>
    <t>закрыт 18.12.2021</t>
  </si>
  <si>
    <t>Обреботка данных по анкетам</t>
  </si>
  <si>
    <t>закрыт 18.12.2022</t>
  </si>
  <si>
    <t>Внести новые препараты на сайт</t>
  </si>
  <si>
    <t>до 15.12.2019</t>
  </si>
  <si>
    <t>Сверка инфы на сайте с каталогом</t>
  </si>
  <si>
    <t>до 17.12.2020</t>
  </si>
  <si>
    <t>Сверка прайса с каталогом</t>
  </si>
  <si>
    <t>до 21.12.2020</t>
  </si>
  <si>
    <t>до 22.12.2020</t>
  </si>
  <si>
    <r>
      <rPr>
        <rFont val="Arial"/>
        <color theme="1"/>
        <sz val="10.0"/>
      </rPr>
      <t xml:space="preserve">отправлен текст с верстки страниц + по продукции. </t>
    </r>
    <r>
      <rPr>
        <rFont val="Arial"/>
        <b/>
        <color rgb="FFFF0000"/>
        <sz val="10.0"/>
      </rPr>
      <t>ШАНСТАР СКОРРЕКТИРОВАТЬ</t>
    </r>
  </si>
  <si>
    <t>Проверить и отредактировать "Полезную инфу" на сайте на старые названия</t>
  </si>
  <si>
    <t>18.12 отправлены правки по мобильной версии сайта. Жду когда поправят.</t>
  </si>
  <si>
    <t>пока идут правки по основной версии и её тестирование.</t>
  </si>
  <si>
    <r>
      <rPr>
        <rFont val="Arial"/>
        <sz val="10.0"/>
      </rPr>
      <t xml:space="preserve">Утвердить, какое юр. лицо вносить как представителя ГК Шанс, завести спец. почту и начать регистрировать на нее учётки на подходящих ресурсах из списка: </t>
    </r>
    <r>
      <rPr>
        <rFont val="Arial"/>
        <color rgb="FF1155CC"/>
        <sz val="10.0"/>
        <u/>
      </rPr>
      <t>https://soltyk.ru/shkola-seo/vneshnyaya-optimizacziya-sajta/dobavlyaem-kompaniyu-v-spravochniki</t>
    </r>
  </si>
  <si>
    <t>подумать, как связать ГК Шанс, Шанс Трейд и Шанс Энтерпрайз</t>
  </si>
  <si>
    <t xml:space="preserve"> Инициатор Карташова Е. Идет изготовление</t>
  </si>
  <si>
    <t xml:space="preserve">Микроудобрения заказ каталогов (контроль изготовления) </t>
  </si>
  <si>
    <t>Счет оплачен, идет изготовление.  привезли 1500 шт+2100</t>
  </si>
  <si>
    <t>все презентации готовы и переданы Марии Хлыниной</t>
  </si>
  <si>
    <t>Брендирование Тентов на Газоны и Валдаи.  брендирование 4х Валдаев (бока кузова)</t>
  </si>
  <si>
    <t>Заказать Визитки Сергею (директор ИТ)</t>
  </si>
  <si>
    <t>Заказала, заберу после 10:00</t>
  </si>
  <si>
    <t>Макет на вывеску и таблички г. Брянск</t>
  </si>
  <si>
    <t>макеты на согласовании у Брянска</t>
  </si>
  <si>
    <t xml:space="preserve">Брендирование Грузовой ларгус - 1 шт (Шанс энерпрайз) </t>
  </si>
  <si>
    <t>подготовить макет, согласовать, запросить счет</t>
  </si>
  <si>
    <t>шелкография на бумаге тачКАВЕР - 50 шт , счет согласовать с руководителем</t>
  </si>
  <si>
    <t>жду информацию по изготовлению. (подготовить макет, согасовать, просчитать)</t>
  </si>
  <si>
    <t>Подготовка финальных продаж 2020</t>
  </si>
  <si>
    <t>Сбор фактических цен конкурентов</t>
  </si>
  <si>
    <t>14.12-18.12</t>
  </si>
  <si>
    <t>Создание текущих заявок на мероприятия</t>
  </si>
  <si>
    <t>подготовка к семинару 2021 январь(утверждение места проведения,согласование договора)</t>
  </si>
  <si>
    <t xml:space="preserve">готово место согласовано </t>
  </si>
  <si>
    <t>Блокнот Шанс Энтерпрайз</t>
  </si>
  <si>
    <t>задача снята</t>
  </si>
  <si>
    <t>Оформление входа Шанс Трейд Мордовия</t>
  </si>
  <si>
    <t>варианты на согласовании БЦ</t>
  </si>
  <si>
    <t>Составление базы аграрных региональных СМИ РФ, первая очередь- Казахстан, запросить у Кайрата</t>
  </si>
  <si>
    <t>до 18.12.2020</t>
  </si>
  <si>
    <t>до 18.12. 2020</t>
  </si>
  <si>
    <t>Подготовка речи АН на семинар для представителей в январе 2021</t>
  </si>
  <si>
    <t>Составления списка премий, где может участвовать ГК</t>
  </si>
  <si>
    <t>Подготовка КП для менеджеров</t>
  </si>
  <si>
    <t>Подготовка речи АН первый день конференции</t>
  </si>
  <si>
    <t>Подборка групп в соцсетях для размещения вакансий в НИЦ</t>
  </si>
  <si>
    <t>Новость на сайт ШансГолд - новая регистрация+ Шанстрар - расширение</t>
  </si>
  <si>
    <t>Добавить страны, актуализировать + добавить ссылки на подписи</t>
  </si>
  <si>
    <t>Поправить КП</t>
  </si>
  <si>
    <t>Этикетка Шанстар ВДГ на китай + добавить новое расширение + проверка текста + подготовка для печати</t>
  </si>
  <si>
    <t xml:space="preserve">Тексты на этикетки Азербайджан 42 препарата </t>
  </si>
  <si>
    <t>Все тексты готовы</t>
  </si>
  <si>
    <t>Треть выполнено</t>
  </si>
  <si>
    <t>Поправить обложки на ВО</t>
  </si>
  <si>
    <t>обработано 426 анкет. Общее количество анкет 777 штук</t>
  </si>
  <si>
    <t>Сбор материала от АН для подготовки речи на конференцию, передача данных пресс-секретарю</t>
  </si>
  <si>
    <t>было 2 встречи, все правки и запись отправлены Татьяне</t>
  </si>
  <si>
    <t>Проверить презентации для обучения: инсектедици, инсектоакарициды, родентициды</t>
  </si>
  <si>
    <t>правки переданы Кате</t>
  </si>
  <si>
    <t>Сбор информации по кадрам и оргструктуре для речи АН</t>
  </si>
  <si>
    <t>Информация передана пресс-секретарю для внесения в речь</t>
  </si>
  <si>
    <t>Запрос информации по препаратам для Азербайджана, передача дизайнеру</t>
  </si>
  <si>
    <t>перечень препаратов получен, свидетельства о регистрации получены, все передано Денису</t>
  </si>
  <si>
    <t>Уточнение информации по кадрам для текста речи для АН</t>
  </si>
  <si>
    <t>Подготовка данных для анализа по составлению портрета ЦА</t>
  </si>
  <si>
    <t>совместно с Женей</t>
  </si>
  <si>
    <t>Сбор информации по вопросам от регионов в ходе подготовки к совещанию Январь 2020</t>
  </si>
  <si>
    <t>вся информация передана Анастасии</t>
  </si>
  <si>
    <t>Горчакова Евгения Олеговна, маркетолог- аналитик ⚜</t>
  </si>
  <si>
    <t>ожидаем информации по растоможке и структуре налога на прибыль</t>
  </si>
  <si>
    <t>Сезональность продаж по группам товаров по датам заключенных договоров</t>
  </si>
  <si>
    <t>Сергей Шаров отправил запрос на внесение изменений в 1С</t>
  </si>
  <si>
    <t>Изменения прайса для дилеров для директора по продажам</t>
  </si>
  <si>
    <t>Сбор данных по АКБ за 2020</t>
  </si>
  <si>
    <t>Анализ работы с прайсами и системами скидок</t>
  </si>
  <si>
    <t>Модификация файла с системами защиты растений, обучение аналитика отдела продаж</t>
  </si>
  <si>
    <t>Ананиз сроков сева по регионам и месяцам</t>
  </si>
  <si>
    <t xml:space="preserve">Подготовить макет на баннер для Курска 1.8х1.8 м </t>
  </si>
  <si>
    <t>Подготовить макет, согласовать и заказть плакетку для Милованова В.В.</t>
  </si>
  <si>
    <t>29,01,2021 60лет  Юров Виктор Васильевич</t>
  </si>
  <si>
    <t>Визитки для Курска и Ростова подготовить макеты и отправить в ТП с тех. заданием</t>
  </si>
  <si>
    <t>Отправить макет на брендирование авто Казахстан</t>
  </si>
  <si>
    <t>Подготовить и согласовать макет внутрянки для блокнота агронома</t>
  </si>
  <si>
    <t>Подготовить макет на плакетку для Тулы</t>
  </si>
  <si>
    <t xml:space="preserve">и заказать её в их городе, для Нефёдова А. </t>
  </si>
  <si>
    <t>Подготовка Каталога СЗР для Азербайджана</t>
  </si>
  <si>
    <t>Стелла ШАНС</t>
  </si>
  <si>
    <t>Обложка для нового блокнота А4</t>
  </si>
  <si>
    <t>Адаптации макетов в фитосанитарный справочник на все города</t>
  </si>
  <si>
    <t>Правки по стендам и подготовка к печати</t>
  </si>
  <si>
    <t xml:space="preserve">Карта лого МТС у ВВ Милованова. Заклеить </t>
  </si>
  <si>
    <t>Визуализация переговорной</t>
  </si>
  <si>
    <t>макеты для оклейки стекол готовы</t>
  </si>
  <si>
    <t>Программа для семинара Барнаул</t>
  </si>
  <si>
    <t>Оформление приглашений и регламентов</t>
  </si>
  <si>
    <t>Карточка сотрудника</t>
  </si>
  <si>
    <t>Барнаул  - организация семинара в регионе-разработка и согласование(составление программы ,счет,дог)</t>
  </si>
  <si>
    <t xml:space="preserve">готово  </t>
  </si>
  <si>
    <t>договор пописан,счет на оплате ,программа составлена</t>
  </si>
  <si>
    <t>Создание официальной заявки в каталог Чувашия выставка</t>
  </si>
  <si>
    <t>создана,отправлена</t>
  </si>
  <si>
    <t>согласование договора и счета Астрахань выставка-конференция</t>
  </si>
  <si>
    <t>договор переделан, счет оплачен ,отправить нужно инвентарь</t>
  </si>
  <si>
    <t>договор и застройка Казань-выставка Татагро</t>
  </si>
  <si>
    <t xml:space="preserve">договор подписан, организация застройки идет полным ходом </t>
  </si>
  <si>
    <t>Отрисовка стенда Ростов-Интерагромаш,застройка -договор и счет</t>
  </si>
  <si>
    <t>перенос на сл неделю</t>
  </si>
  <si>
    <t>жду макет от дизайнеров</t>
  </si>
  <si>
    <t>Регистрация Кирилла Дятлова на две конференции</t>
  </si>
  <si>
    <t>заявки отправлены ,жду ответ по ценам</t>
  </si>
  <si>
    <t>Челябинск - МАК 2021 -спикер,подготовка к выставке</t>
  </si>
  <si>
    <t>решение о выступлении - нет, жду макет от дизайнеров</t>
  </si>
  <si>
    <t>Каспиан Агро-Азербайджан - создание завки,выбор места</t>
  </si>
  <si>
    <t xml:space="preserve">заявка пока без печати-Сабина работает с 1 февраля ,печать ставить не может </t>
  </si>
  <si>
    <t>создание приглашений для регионов</t>
  </si>
  <si>
    <t>Астрахань,Крым,Ростов  -Жду от дизайнеров</t>
  </si>
  <si>
    <t>Перезалить ПЗР и каталог</t>
  </si>
  <si>
    <t>до 29.01.2021</t>
  </si>
  <si>
    <t>Собрать данные по стоимости размещения баннеров на тематических порталах и присутствии там конкурентов</t>
  </si>
  <si>
    <t>Подготовить проект бюджета для предзащиты</t>
  </si>
  <si>
    <t>до 22.01.2021</t>
  </si>
  <si>
    <t>Связаться с Евгенией по съемке видеоролика на Ютуб</t>
  </si>
  <si>
    <t>Залить на облако фото с конференции</t>
  </si>
  <si>
    <t>https://yadi.sk/d/-yEq0zi7PIjCBw</t>
  </si>
  <si>
    <t>Перезалисть прайсы на сайт</t>
  </si>
  <si>
    <t>Завести почты по списку Андрея</t>
  </si>
  <si>
    <t>до 26.01.2021</t>
  </si>
  <si>
    <t>Найти специалистов marhr</t>
  </si>
  <si>
    <t>Решить вопрос по приоритетам: делаем иностранные версии или вносим правки в основную, пока это дешевле</t>
  </si>
  <si>
    <t>в приоритете иностранные версии</t>
  </si>
  <si>
    <t>С Анной и Даниилом решить вопрос, что делать с карточками МТС Агро-альянс на агрегаторах и справочниках</t>
  </si>
  <si>
    <t>От имени кого заходим? Нужно ли их вообще удалять? Адреса совпадают.</t>
  </si>
  <si>
    <t>Установить на сайт пиксели ВК и ФБ</t>
  </si>
  <si>
    <t>Мониторить работу по настройке таргета</t>
  </si>
  <si>
    <t>Проработать вопрос с размещением компании в справочниках</t>
  </si>
  <si>
    <t>до 7.03 домен мтс, до 19.03 хостинг</t>
  </si>
  <si>
    <t>выполнено, согласуется</t>
  </si>
  <si>
    <t>счет на оплате, макет готовим</t>
  </si>
  <si>
    <t xml:space="preserve"> Юлия Александровна 89233909391, ждем документы, готовим макет?</t>
  </si>
  <si>
    <t>8-919-568-9690  Михаил Викторович  rsc-ozr45@mail.ru</t>
  </si>
  <si>
    <t>Подготовка информации в фитосанитарный справочник Рязань, Москва</t>
  </si>
  <si>
    <t>Смалев???</t>
  </si>
  <si>
    <t>до 10.02.2021</t>
  </si>
  <si>
    <t>Анастасия, макет готовим, документы ждем до февраля</t>
  </si>
  <si>
    <t>Макет готовим, документы жду</t>
  </si>
  <si>
    <t>Подготовка информации в фитосанитарный справочник Брянск</t>
  </si>
  <si>
    <t>Макет готовим, документы есть, счет на оплате</t>
  </si>
  <si>
    <t>Подготовка информации в фитосанитарный справочник Новосибирск</t>
  </si>
  <si>
    <t>8(383)341-80-32, 8-913-753-25-94 – Волокитин Владимир Васильевич, макет готовим, жду документы на оплату</t>
  </si>
  <si>
    <t>Подготовка информации в фитосанитарный справочник Омск</t>
  </si>
  <si>
    <t>Материал в издание и на сайт Алтайская нива после конференции</t>
  </si>
  <si>
    <t>до 01.02.2021</t>
  </si>
  <si>
    <t>Новость на сайт препараты новые, Новость конференция и новость тайная комната завода</t>
  </si>
  <si>
    <t>Подготовка информации для выставки в Ростове-на-Дону</t>
  </si>
  <si>
    <t>Презентация для Яблонского</t>
  </si>
  <si>
    <t>Шаповалова Анастасия, бренд-менеджер</t>
  </si>
  <si>
    <t>Этикетки Глифошанс и ДКБ</t>
  </si>
  <si>
    <t>Раскрой на подпись от типографии</t>
  </si>
  <si>
    <t>Шанс 90</t>
  </si>
  <si>
    <t>Размеры от ВЭД</t>
  </si>
  <si>
    <t>Шансюген</t>
  </si>
  <si>
    <t>у ВЭД</t>
  </si>
  <si>
    <t>Каталог_AZE (согласовать верстку, проверить на ошибки, отправить тексты на перевод, переверстать русские страницы, тз для диза)</t>
  </si>
  <si>
    <t>Каталог_AZE (проверка правок)</t>
  </si>
  <si>
    <t>В работе у дизайнера</t>
  </si>
  <si>
    <t>Этикетки_KZ 36 препаратов (шаблон и часть препаратов)</t>
  </si>
  <si>
    <t>Шанс Голд + Шанс Профи_Китай</t>
  </si>
  <si>
    <t>Shutterstock (изображения для веера вредных объектов)</t>
  </si>
  <si>
    <t xml:space="preserve">Этикетки_KZ 36 препаратов </t>
  </si>
  <si>
    <t>Веер вредные объекты и болезни (утвердить у ГЯ количество вееров и вредные объекты)</t>
  </si>
  <si>
    <t>Обучение регионов по продукту, 4 презентации (Проверить с ГЯ, оформление презентации, отправить Григоровой)</t>
  </si>
  <si>
    <t>\\192.168.1.209\Reklama\!ШАНС ЭНТЕРПРАЙЗ!\ГК ШАНС\Полиграфия\Презентации\Презентации с семинара</t>
  </si>
  <si>
    <t>Этикетки_AZE 30 препаратов</t>
  </si>
  <si>
    <t>Визуалки на продукты с новыми верными описаниями</t>
  </si>
  <si>
    <t>Этикетки_GE (утвердить шаблон)</t>
  </si>
  <si>
    <t>Сводная таблица программ защиты по конкурентам</t>
  </si>
  <si>
    <t>Проверка наличия регистрации на культуру препаратов из программы защиты культур (сделать "чистые" программы)</t>
  </si>
  <si>
    <t>Уточнить у ВЭД наличие препаратов из программ защиты, сроки регистрации</t>
  </si>
  <si>
    <t>Согласование визуала выставочного стенда для Казани</t>
  </si>
  <si>
    <t>все замечания были переданы Кате и устранены. Макет согласован.</t>
  </si>
  <si>
    <t>Сделать сводную по предложениям по новому продукту (взять из таблицы проблемы регионов) и проблемам, связанными с ассортиментом.</t>
  </si>
  <si>
    <t>Выдача полиграфии сотрудникам офиса в том числе  (ТП Воронеж) по запросу</t>
  </si>
  <si>
    <t>Горчакова Евгения Олеговна, маркетолог- аналитик</t>
  </si>
  <si>
    <t>ожидаю информацию от ВЭД</t>
  </si>
  <si>
    <t>Изменения в прайс Казахстан (Сильвошанс, Шанс-90)</t>
  </si>
  <si>
    <t>Ценовой мониторинг по РФ</t>
  </si>
  <si>
    <t>27.01.2021 сдача АН</t>
  </si>
  <si>
    <t>Механика мотивационной программы для ТП по ТОП препаратам</t>
  </si>
  <si>
    <t>Изменение прайса по СЗР и скидочных программ с 01.02.2021</t>
  </si>
  <si>
    <t>Актуализация потенциала территорий</t>
  </si>
  <si>
    <t>Круг согласован, Челябинск и Ростов, БАшкирия, Чувашия (другая S) в работе</t>
  </si>
  <si>
    <t>все готово</t>
  </si>
  <si>
    <t>Контроль оплаты до 100%  Биомик Актив 1 039 000 руб (оплачено 60%)</t>
  </si>
  <si>
    <t>Подготовить макеты на пригласительные (выставки)</t>
  </si>
  <si>
    <t>Подготовить макнет на карточку анкету  для Марии HG</t>
  </si>
  <si>
    <t>Как говорила ранее, нужно сделать красивый шаблон-открытку (или не знаю, как это правильно обозвать), в который Менеджеры по подбору будут вставлять нужную инфу и рассылать по почте.</t>
  </si>
  <si>
    <t>Подготовить макет БЛАНКА и печати для ВЭД</t>
  </si>
  <si>
    <t>жду инфу от Насти</t>
  </si>
  <si>
    <t>Внесение исправлений в Каталог СЗР</t>
  </si>
  <si>
    <t>макеты для печати готовы</t>
  </si>
  <si>
    <t>***</t>
  </si>
  <si>
    <t xml:space="preserve">внутренние семинары сценарий прописать </t>
  </si>
  <si>
    <t>памятка готовоа,отправлена по регионам в рассылке</t>
  </si>
  <si>
    <t xml:space="preserve">составление бюджета </t>
  </si>
  <si>
    <t>внесла все данные</t>
  </si>
  <si>
    <t xml:space="preserve">Барнаул  - организация семинара в с.Ключи -последние моменты организации </t>
  </si>
  <si>
    <t>программа,ролл ап,анкеты,бейджи - все отправлено</t>
  </si>
  <si>
    <t>форум Зерно России - поручение от Милованова -регистрация</t>
  </si>
  <si>
    <t>едет 4 человека. счета отдала на оплату</t>
  </si>
  <si>
    <t xml:space="preserve">договор и застройка Казань-выставка Татагро </t>
  </si>
  <si>
    <t>получено</t>
  </si>
  <si>
    <t>Отрисовка стенда Ростов,Челябинск,Крым ,Астрахань - застройка</t>
  </si>
  <si>
    <t>не все еще готвоо</t>
  </si>
  <si>
    <t>жду дизайнеров - Ростов</t>
  </si>
  <si>
    <t xml:space="preserve">Каспиан Агро-Азербайджан - отправить заявку пока без печати </t>
  </si>
  <si>
    <t>отправила организаторам.жду договор и счет</t>
  </si>
  <si>
    <t>создание приглашений для регионов и отправка</t>
  </si>
  <si>
    <t>перенос</t>
  </si>
  <si>
    <t xml:space="preserve">жду дизайнеров  </t>
  </si>
  <si>
    <t>рассылка всем регионам оповещений и материалов к выставке</t>
  </si>
  <si>
    <t>сделано</t>
  </si>
  <si>
    <t>Краснодар семинар</t>
  </si>
  <si>
    <t>подготовка</t>
  </si>
  <si>
    <t>Предложить наиболее интересные варианты размещения на отраслевых сайтах</t>
  </si>
  <si>
    <t>файл подготовлен</t>
  </si>
  <si>
    <t>Подготовить проект бюджета для защиты</t>
  </si>
  <si>
    <t>до 27.01.2021</t>
  </si>
  <si>
    <t>Утвердить тему ролика на Ютуб и найти ответственного за написание информационного материала для нее</t>
  </si>
  <si>
    <t>до 28.01.2021</t>
  </si>
  <si>
    <t>Завести почты по списку Андрея и добавить в рассылку</t>
  </si>
  <si>
    <t>Изучить и при необходимости скорректировать видео от клиентов</t>
  </si>
  <si>
    <t>Настроить ZOOM и подготовить список вопросов для беседы с РА</t>
  </si>
  <si>
    <t>Изучить новые креативы</t>
  </si>
  <si>
    <t>ждем утверждения текста Сидельниковым</t>
  </si>
  <si>
    <t>до 20.02.2021</t>
  </si>
  <si>
    <t>ждем, пока не актуально</t>
  </si>
  <si>
    <t xml:space="preserve">приглашение на завод, новости, </t>
  </si>
  <si>
    <t xml:space="preserve">выполнено </t>
  </si>
  <si>
    <t>МАКЕТ готов, счет на оплате</t>
  </si>
  <si>
    <t xml:space="preserve"> Юлия Александровна 89233909391, ждем документы</t>
  </si>
  <si>
    <t>МАКЕТ готов, документы ждем до февраля</t>
  </si>
  <si>
    <t>Подготовка информации в фитосанитарный справочник Белгород</t>
  </si>
  <si>
    <t>МАКЕТ НАДО ПОМЕНЯТЬ, жду документы от них</t>
  </si>
  <si>
    <t>Новость про комнату потом</t>
  </si>
  <si>
    <t>Статья Нива+</t>
  </si>
  <si>
    <t>Бриф для РА</t>
  </si>
  <si>
    <t>Новость ПОСЕЩЕНИЕ ЗАВОДА</t>
  </si>
  <si>
    <t>до 02.02.2021</t>
  </si>
  <si>
    <t>Подготовка ТЗ и проверка материала "Алтайская Нива"</t>
  </si>
  <si>
    <t>Подготовка ТЗ и проверка материала "Агропромышленная газета юга России"</t>
  </si>
  <si>
    <t>Новость Шанситек</t>
  </si>
  <si>
    <t>Новость семинар Барнаул</t>
  </si>
  <si>
    <t>Статья Аграрная политика Тюмень - интервью АН подготовить</t>
  </si>
  <si>
    <t>до 15.02.2021</t>
  </si>
  <si>
    <t>Шансюген_на завод</t>
  </si>
  <si>
    <t>Шанс Голд_Китай</t>
  </si>
  <si>
    <t>Шансгард_на завод</t>
  </si>
  <si>
    <t>Шанс Профи_Китай</t>
  </si>
  <si>
    <t>ИМИДАШАНС-С КС 5л_завод</t>
  </si>
  <si>
    <t>Таблица  препаратов конкурентов, которые просят ТП, аналоги в нашем ассортименте по ДВ</t>
  </si>
  <si>
    <t>Разработать опросник для семнара в Барнауле</t>
  </si>
  <si>
    <t>Подготовить сдайд с преимуществами компании для холдингов</t>
  </si>
  <si>
    <t>Подготовить положение о работе стендистов на выставке</t>
  </si>
  <si>
    <t>передано Рите для рассылки в представительства</t>
  </si>
  <si>
    <t>Участие в разработке стенда для выставки в Ростове</t>
  </si>
  <si>
    <t>Просмотреть программы защиты в ОП на предмет наличия свидетельств о регистрации на препараты</t>
  </si>
  <si>
    <t>отменен счет!</t>
  </si>
  <si>
    <t>Подготовка бюджета на год (затраты отдела)</t>
  </si>
  <si>
    <t>Запрос на просчет медиаплана для планирования бюджета на наружнюю рекламу</t>
  </si>
  <si>
    <t>поиск агентства для брендирования автомобиля в Благовещенске.</t>
  </si>
  <si>
    <t>Сбор пакетов для завода для Сидельникова Н.В 30</t>
  </si>
  <si>
    <t>Сбор и отправка пакетов для Москвы 15 и отправка почтой .</t>
  </si>
  <si>
    <t>проработка запроса по установки колонны для указателя на завод</t>
  </si>
  <si>
    <t>Подготовка запроса по размещению рекламы для  ФДА автодора.</t>
  </si>
  <si>
    <t>Прай-лист Россия (изменения с 1.02.2021)</t>
  </si>
  <si>
    <t>Мониторинг новых позиций по Азербайджану</t>
  </si>
  <si>
    <t>Сделали отчет в 1С, анализирую данные</t>
  </si>
  <si>
    <r>
      <rPr>
        <rFont val="Arial"/>
        <color rgb="FF000000"/>
        <sz val="10.0"/>
      </rPr>
      <t xml:space="preserve">Ростов?, БАшкирия, </t>
    </r>
    <r>
      <rPr>
        <rFont val="Arial"/>
        <b/>
        <color rgb="FF000000"/>
        <sz val="10.0"/>
      </rPr>
      <t>Чувашия согласован?!</t>
    </r>
    <r>
      <rPr>
        <rFont val="Arial"/>
        <color rgb="FF000000"/>
        <sz val="10.0"/>
      </rPr>
      <t xml:space="preserve"> в работе</t>
    </r>
  </si>
  <si>
    <t>чувашия и башкирия</t>
  </si>
  <si>
    <t>жду ответа от Завода ( пленка, плоттер)</t>
  </si>
  <si>
    <t>отдать счет и доки в бухгалтерию</t>
  </si>
  <si>
    <t>позвонить НИЯЗУ (уточнить кол-во), макеты согласовать?!</t>
  </si>
  <si>
    <t xml:space="preserve">в папке не интерактивные лежат (нельзя текст из никх копировать) </t>
  </si>
  <si>
    <t xml:space="preserve">отправить макеты </t>
  </si>
  <si>
    <t>Подготовить макет на баннер для Курска 1.8х1.8 м + таблички на дверь</t>
  </si>
  <si>
    <t xml:space="preserve">согласовать 2 -3 варианта (для всех офисов) </t>
  </si>
  <si>
    <t>Визитки для Курска и Ростова, Краснодар, Брянск, Нижний Новгород, Липецк, Челябинск, Орел</t>
  </si>
  <si>
    <t>Челябинск и Нижний остались</t>
  </si>
  <si>
    <t>комментарии от Тулы получены</t>
  </si>
  <si>
    <r>
      <rPr>
        <rFont val="Arial"/>
        <b/>
        <color rgb="FFFF0000"/>
        <sz val="10.0"/>
      </rPr>
      <t>Чувашия</t>
    </r>
    <r>
      <rPr>
        <rFont val="Arial"/>
        <color rgb="FFFF0000"/>
        <sz val="10.0"/>
      </rPr>
      <t xml:space="preserve"> , Богучар готов!</t>
    </r>
  </si>
  <si>
    <t>отправила файл с 5 вариантами исполнения шаблона-анкеты</t>
  </si>
  <si>
    <t xml:space="preserve">заказать визитки для Шарова Сергея и ИРИНЫ  и ШЕФА  новые с сайтом </t>
  </si>
  <si>
    <t xml:space="preserve">бланк готов, печать </t>
  </si>
  <si>
    <t>заказать лого на стену над ТВ 1,5х1м</t>
  </si>
  <si>
    <t>2 ролл апа на пятницу</t>
  </si>
  <si>
    <t>отправила макеты на печать, идет изготовление</t>
  </si>
  <si>
    <t>подготовить для Чувашии спонсорский пакет</t>
  </si>
  <si>
    <t xml:space="preserve">отправить рите модуль А4 и баннер </t>
  </si>
  <si>
    <t xml:space="preserve">бланк для отдела ВЭД (регистрация) </t>
  </si>
  <si>
    <t>отрисовываю сам бланк в кривых</t>
  </si>
  <si>
    <t xml:space="preserve">Подготовить исогласовать визитки для ком. дира. </t>
  </si>
  <si>
    <t>запросить счет на шелкографию  ООО Промодар 28руб/шт (Инфолио 6.5 руб/шт)</t>
  </si>
  <si>
    <t>Подготовить макеты и согласовать брендирование офис Азербайджан (Сабина)</t>
  </si>
  <si>
    <t>узнать размеры на стену и отправить макеты на проверку (таблички, ролл апы )</t>
  </si>
  <si>
    <t>Правки презентаций для ГЯ (2 шт.)</t>
  </si>
  <si>
    <t>Эскиз стеллы пилон</t>
  </si>
  <si>
    <t>программа посещения завода(экскурсия)</t>
  </si>
  <si>
    <t xml:space="preserve">сделана, отправлена всем менеджерам для дальнейшей рассылки </t>
  </si>
  <si>
    <t xml:space="preserve">БОГУЧАР создание приглашения/программы для семинара </t>
  </si>
  <si>
    <t>сделано, отправили по клиентам</t>
  </si>
  <si>
    <t>Приглашения Ростов,Краснодар,Казань</t>
  </si>
  <si>
    <t>отправили в представительства</t>
  </si>
  <si>
    <t>Застройка Ростов,Башкирия</t>
  </si>
  <si>
    <t>Ростов-согласован,оплачена застройка.РБ - жду от застройщика КП</t>
  </si>
  <si>
    <t>Краснодар бейджи,программа</t>
  </si>
  <si>
    <t>отправлены на печать в представительство</t>
  </si>
  <si>
    <t>Агроволга-создание заявки</t>
  </si>
  <si>
    <t>перенос на  сл нед</t>
  </si>
  <si>
    <t>получен план,начать подготовку</t>
  </si>
  <si>
    <t xml:space="preserve">Казань доп услуги 4 формы </t>
  </si>
  <si>
    <t xml:space="preserve">все сделано </t>
  </si>
  <si>
    <t>Чувашия  - рекламные возможности спонс пакета</t>
  </si>
  <si>
    <t xml:space="preserve">ролик,инстаграм,сайт, пакеты раздаточные-получен счет на все это.остался только ролик </t>
  </si>
  <si>
    <t>Белокуриха - конференция зерновая - отправка материалов (по пакету )</t>
  </si>
  <si>
    <t>договор подписан,счет на оплате,материалы отправлены</t>
  </si>
  <si>
    <t>Коссад семанс - совместные мероприятия -Соколянский запрос</t>
  </si>
  <si>
    <t>отправила таблицу</t>
  </si>
  <si>
    <t>семинар Краснодар - обеспечение всми материалами</t>
  </si>
  <si>
    <t>всем обеспечены-ролл ап,анкеты,бейджи,презентация,видео</t>
  </si>
  <si>
    <t>конференция по ноутилл в Ростове  -задание Милованова</t>
  </si>
  <si>
    <t>он сам все порешал,я толькоашла инф-ю</t>
  </si>
  <si>
    <t>семинар Богучар - обеспечение всми материалами</t>
  </si>
  <si>
    <t xml:space="preserve">Переподписание договоров,выставки которых перенесли </t>
  </si>
  <si>
    <t>сделано. Волгоград,Башкирия</t>
  </si>
  <si>
    <t>крым -выставка-исправить заявку на доп услуги</t>
  </si>
  <si>
    <t>исправлена,отправлена застройщику</t>
  </si>
  <si>
    <t xml:space="preserve">воронеж  -выставка воронежагрокомплекс-оформление заявки </t>
  </si>
  <si>
    <t>бронь места готова.жду договор и счет</t>
  </si>
  <si>
    <t>рынок сахара конференция март -Дятлов оформление+регистрация</t>
  </si>
  <si>
    <t>отправлена заявка на выставление счета</t>
  </si>
  <si>
    <t>Добавить почты Алмасовой и Сеидова в сетевую папку в соотв. файл + Мачабели</t>
  </si>
  <si>
    <t>как выйду в офис</t>
  </si>
  <si>
    <t>Протестить новые текстовки, получить обратную связь от HR</t>
  </si>
  <si>
    <t>до 12.01.2021</t>
  </si>
  <si>
    <t>Алатайская НИВА статья, журнал НИва+, статья</t>
  </si>
  <si>
    <t>Подготовка информации в фитосанитарный справочник Нижний Новгород</t>
  </si>
  <si>
    <t>до 10.02.2022</t>
  </si>
  <si>
    <t>МАКЕТ готов, жду документы</t>
  </si>
  <si>
    <t>Согласовать верстку с корректорскими</t>
  </si>
  <si>
    <t>Подготовка информации для выставки "Картофель" в Чувашии: пресс-релиз, приветствие участникам</t>
  </si>
  <si>
    <t>Новость визит Росприроднадзора</t>
  </si>
  <si>
    <t>Помощь в написании письма в минсельхоз Казахстана</t>
  </si>
  <si>
    <t>Составление программы посещения завода Шанс Энтерпрайз</t>
  </si>
  <si>
    <t>до 03.02.2021</t>
  </si>
  <si>
    <t>Найти блогеров-фермер- ютьюб+ инстаграмм</t>
  </si>
  <si>
    <t>до 18.02.2021</t>
  </si>
  <si>
    <t>Картофель выставка новости</t>
  </si>
  <si>
    <t>Подготовить информацию для сайта и инстаграмма выставки Картофеля ( про протравитель)</t>
  </si>
  <si>
    <t>до 08.02.2021</t>
  </si>
  <si>
    <t>Дарья, копия Рите agro-in4@cap.ru</t>
  </si>
  <si>
    <t>Макет в статью про СЗР Земля и Жизнь ( к выставке в Ростове)</t>
  </si>
  <si>
    <t>Подготовить с Хрюкиной ответы на вопросы для Агрофорума</t>
  </si>
  <si>
    <t>до 09.02.2021</t>
  </si>
  <si>
    <t>Вопросы у нее, в понедельник работаем. Елена Ивановна 89036502100</t>
  </si>
  <si>
    <t>Подготовить письмо на главу Терновского района о предоставлении помещения для нашего мероприятия</t>
  </si>
  <si>
    <t>склад жуков &lt;cool.sklad@list.ru&gt;</t>
  </si>
  <si>
    <t>Закрыть все вопросы по фитосанитарным прогнозам</t>
  </si>
  <si>
    <t>Выпонено</t>
  </si>
  <si>
    <t>Таблица  препаратов конкурентов, которые просят ТП, аналоги в нашем ассортименте по ДВ (обсудить с ГЯ)</t>
  </si>
  <si>
    <t>Анализ сводной таблицы с предложениями по новому продукту (взять из таблицы проблемы регионов) и проблемам, связанными с ассортиментом (совмечтно с Ксенией ВЭД и Г.Я.)</t>
  </si>
  <si>
    <t>Подготовка к командировкам в Казань и Челябинск: написание с/з и прочей необходимой документации, покупка билетов, бронь гостиницы</t>
  </si>
  <si>
    <t>С/З написаны и согласованы, билеты куплены, счет за гостиницу отдан на оплату</t>
  </si>
  <si>
    <t>Участие в согласовании стендов для выставок</t>
  </si>
  <si>
    <t>согласован стенд для Ростова, в доработке стенд для Чувашии</t>
  </si>
  <si>
    <t>Добавить в папку продавца материал по продукту (блок обучение продукту)</t>
  </si>
  <si>
    <t>материал передан Кате (у меня нет доступов к правкам в папке продавца), Катя все залила</t>
  </si>
  <si>
    <t>Обсудить с Ксенией из ВЭД недостаток регистраций на препараты из программ защиты на культуры, обсудить возможность получения новых регистраций или расширения на действующие</t>
  </si>
  <si>
    <t>Обсуждение таблицы по новым препаратам, подготовленную Ксенией из ВЭД</t>
  </si>
  <si>
    <t>Мониторинг агентств, предлагающих брендирование сувениров и спец. одежды, выбор подрядчика</t>
  </si>
  <si>
    <t>в процессе сбора информации</t>
  </si>
  <si>
    <t>Азербайджан. Подготовка информации о брендировании авто, в случае необходимости, проработка подбора типографии для печати каталога. Подготовка к отправке сувенирной продукции</t>
  </si>
  <si>
    <t>сувенирка отправлена, по остальным вопросам ждем ОС</t>
  </si>
  <si>
    <t>Выдача полиграфии сотрудникам офиса, в том числе  (ТП Воронеж) по запросу</t>
  </si>
  <si>
    <t>1.02.21-1.03.21</t>
  </si>
  <si>
    <t>Запрос на просчет медиаплана для планирования бюджета на наружную рекламу</t>
  </si>
  <si>
    <t>проработка запроса по установке колонны для указателя на завод</t>
  </si>
  <si>
    <t>в процессе жду макет</t>
  </si>
  <si>
    <t xml:space="preserve">Подготовка к покупке сумок для агронома </t>
  </si>
  <si>
    <t>на этапе предоставления счета</t>
  </si>
  <si>
    <t>Сбор документов на услуги от РЗ медиа</t>
  </si>
  <si>
    <t>в процеессе (запрос отправлен)</t>
  </si>
  <si>
    <t>Заказ ручек (эконом 2000)</t>
  </si>
  <si>
    <t>счет подписан</t>
  </si>
  <si>
    <t>ожидаю информацию от Сабины, для передачи дизайнерам</t>
  </si>
  <si>
    <t>Мониторинг Казахстан</t>
  </si>
  <si>
    <t>Анализ прайса AFD Chemicals</t>
  </si>
  <si>
    <t>Анализ прайса Щелково</t>
  </si>
  <si>
    <t>Сбор базы потенциальных клиентов для отдела продаж</t>
  </si>
  <si>
    <r>
      <rPr>
        <rFont val="Arial"/>
        <color rgb="FF000000"/>
        <sz val="10.0"/>
      </rPr>
      <t xml:space="preserve">Ростов?, БАшкирия, </t>
    </r>
    <r>
      <rPr>
        <rFont val="Arial"/>
        <b/>
        <color rgb="FF000000"/>
        <sz val="10.0"/>
      </rPr>
      <t>Чувашия согласован?!</t>
    </r>
    <r>
      <rPr>
        <rFont val="Arial"/>
        <color rgb="FF000000"/>
        <sz val="10.0"/>
      </rPr>
      <t xml:space="preserve"> в работе</t>
    </r>
  </si>
  <si>
    <t xml:space="preserve">жду ответа от Завода (скинула еще раз варианты исполнения) </t>
  </si>
  <si>
    <t>передала счет и доки в бухгалтерию (ДРОНОВА НЕ ПОДПИСАЛА) жду ответа от Семиной</t>
  </si>
  <si>
    <t>запросила у НИЯЗА точное кол-вол ипараментры тентов.  макеты согласовать?!</t>
  </si>
  <si>
    <t>макеты и ТЗ отправила в Ростов, жду фотоотчет</t>
  </si>
  <si>
    <t>макеты отправлены в печать</t>
  </si>
  <si>
    <r>
      <rPr>
        <rFont val="Arial"/>
        <b/>
        <strike/>
        <color rgb="FF000000"/>
        <sz val="10.0"/>
      </rPr>
      <t>Чувашия</t>
    </r>
    <r>
      <rPr>
        <rFont val="Arial"/>
        <strike/>
        <color rgb="FF000000"/>
        <sz val="10.0"/>
      </rPr>
      <t xml:space="preserve"> , Богучар готов!</t>
    </r>
  </si>
  <si>
    <t>идет изготовление. Остались только визитки ШЕФА</t>
  </si>
  <si>
    <t xml:space="preserve">Подготовить и согласовать визитки для ком. дира. </t>
  </si>
  <si>
    <t>жду размеры от Сабины</t>
  </si>
  <si>
    <t xml:space="preserve">Оклеить 1 Дастер для Смалева А.И. </t>
  </si>
  <si>
    <t>15 го позвонить Свете СЭБ утром и назначить водителя на брендирование</t>
  </si>
  <si>
    <t xml:space="preserve">заказать настольные флажки </t>
  </si>
  <si>
    <t>2 вида флажков 20х300р= 6000 р. Жду оплаты</t>
  </si>
  <si>
    <t>визитки Липецк  макет</t>
  </si>
  <si>
    <t>запросила инфу по ним. макет на старую буклетницу (наклейка) отправила</t>
  </si>
  <si>
    <t xml:space="preserve">оклейка задних стекол ПАЗ глухой пленкой (Лайф медиа) </t>
  </si>
  <si>
    <t xml:space="preserve">жду инфу от Тенгиза (да или нет) оклеиваем на заводе или в Вишне? </t>
  </si>
  <si>
    <t>визитки Белгород макет + Крым+ Калмыкия+ заказать визитки Бражникову С.Н.</t>
  </si>
  <si>
    <t>заказать визитки для Белгорода</t>
  </si>
  <si>
    <t xml:space="preserve">макет на плакетку для ТУлы </t>
  </si>
  <si>
    <t>макет согласовать с Нефедовым А. и отправить на печать</t>
  </si>
  <si>
    <t>в приоритете</t>
  </si>
  <si>
    <t>нужно отправить регионам все презентации</t>
  </si>
  <si>
    <t>эскиз Вере отправил</t>
  </si>
  <si>
    <t>Баннер тройной для Богучара</t>
  </si>
  <si>
    <t>жду текст от Тани</t>
  </si>
  <si>
    <t>выставка в Казани</t>
  </si>
  <si>
    <t>9.02-10.02</t>
  </si>
  <si>
    <t>командировка</t>
  </si>
  <si>
    <t xml:space="preserve">готово,все организовали </t>
  </si>
  <si>
    <t>Застройка  Башкирия,чувашия</t>
  </si>
  <si>
    <t>жду застройщика -его макетмакет на Чувашию получен</t>
  </si>
  <si>
    <t>Агроволга Казань - отработать все моменты организационные</t>
  </si>
  <si>
    <t>остался только ролик ,жду с 15-19 февраля</t>
  </si>
  <si>
    <t>Белокуриха - конференция зерновая - конитроль отправки пакетов на конференцию</t>
  </si>
  <si>
    <t xml:space="preserve">воронеж  -выставка воронежагрокомплекс-оформление </t>
  </si>
  <si>
    <t>Добавить почты вновь созданных в сетевую папку</t>
  </si>
  <si>
    <t>Проверить и утвердить Англ. и Кз. версии сайтов</t>
  </si>
  <si>
    <t>комменты отправлены разработчикам</t>
  </si>
  <si>
    <t>Подать ТЗ на "СОС"-форму на сайт</t>
  </si>
  <si>
    <t>Залить на облако видеофайлы и сделать картинку со ссылкой на ролик Ютуб</t>
  </si>
  <si>
    <t>Подготовить и отправить инфу для проработки CRM</t>
  </si>
  <si>
    <t>Узнать у Мэйл.ру по функционалу тарифа и расширению списка пользователей</t>
  </si>
  <si>
    <t>Перенастроить таргет вакансий на основании тестовой кампании</t>
  </si>
  <si>
    <t>Добавили открутку на подписчиков</t>
  </si>
  <si>
    <t>Разместить данные о компании в Яндекс и Гугл</t>
  </si>
  <si>
    <t>до 12.02.2021</t>
  </si>
  <si>
    <t>Алатайская НИВА статья, журнал НИва+, статья, Напоминание про перебрендирование, добавить про кнопку sos@shans-group.com, 
Сообщения будут приходить одновременно к следующим ответственным по отделам:
seb@shans-group.com  Марина Николаевна  СЭБ
abozhkova@shans-group.com Анастасия  Божкова -Продажи и копия- ozakharchenko@shans-group.com Олег Захарченко
khlynina@shans-group.com — Мария Хлынина от HR
verastol@shans-group.com    Вера Столярова от  Маркетинга и копия dav@shans-group.com  Дундукова Анна 
В тексте рассылки нужно написать, что в случае выявленных действиях, как стихийных и случайных, так и  со стороны сотрудников, которые мешают продажам, тормозят процесс продаж, выставляют компанию Шанс в неприглядном свете и т.п. ВАЖНО сообщать о факте, делиться сомнениями и предложениями  с центральным офисом через  SOS почту.
Собственник заверил, что никто не будет уволен, но  компания примет к сведению, разберется и сделает все, чтобы наша мы стали более эффективными. Меняется компания, меняются  и взаимоотношения,  мы становимся более открытыми  и прозрачными.</t>
  </si>
  <si>
    <t>Проверка материала "Алтайская Нива"</t>
  </si>
  <si>
    <t>Проверка материала "Агропромышленная газета юга России"</t>
  </si>
  <si>
    <t>до 16.02.2021</t>
  </si>
  <si>
    <r>
      <rPr>
        <rFont val="Arial"/>
        <sz val="10.0"/>
      </rPr>
      <t xml:space="preserve">Внесение данных о компании на портал </t>
    </r>
    <r>
      <rPr>
        <rFont val="Arial"/>
        <color rgb="FF1155CC"/>
        <sz val="10.0"/>
        <u/>
      </rPr>
      <t>https://agrotrend.ru/</t>
    </r>
  </si>
  <si>
    <t>выполнено, проверить</t>
  </si>
  <si>
    <t>https://agrotrend.ru/add-company/#wpcf7-f1572-p1573-o2</t>
  </si>
  <si>
    <t>Редактирование письма для Яблонского</t>
  </si>
  <si>
    <t xml:space="preserve">Подготовка информации в фитосанитарный справочник Ярославль </t>
  </si>
  <si>
    <t>Счет на оплате, МАКЕТ ОТДАЛА ДЕНИСУ</t>
  </si>
  <si>
    <t>Подготовка информации о возможностях нашей фитолаборатории</t>
  </si>
  <si>
    <t>Геннадий, замдиректора89050519673</t>
  </si>
  <si>
    <t>Подготовить статью для размещения в Журнале "Поволжье Агро" по результатам выставки  в Казани и к Башкирии</t>
  </si>
  <si>
    <t>Новость для соцсетей с выставки в Казани</t>
  </si>
  <si>
    <t>Новость для сайта выставка в Казани</t>
  </si>
  <si>
    <t>Новость семинар в Краснодаре</t>
  </si>
  <si>
    <t>до 11.02.201</t>
  </si>
  <si>
    <t>Видеодайджест выпуск 1</t>
  </si>
  <si>
    <t>в след. выпуск снять Риту с календарем посещения завода + две экскурсии+выставка Челябинск+Паша с результатами недели+ Страмчинский с репортажа с зерновой выставки!</t>
  </si>
  <si>
    <t xml:space="preserve">Шаблоны этикеток на основноую группу продуктов </t>
  </si>
  <si>
    <t>ДВД Шанс, Дишанс, Шансил (изменить тексты регламентов, шаблон этикетки, форматирование текста, проверка на ошибки)</t>
  </si>
  <si>
    <t>Этикетки_AZE Поменять офис продаж, финальная проверка, оправить в типографию для раскроев</t>
  </si>
  <si>
    <t>Ждем инфо от ВЭД</t>
  </si>
  <si>
    <t>Этикетки_Киргизия (утвердить шаблон)</t>
  </si>
  <si>
    <t>Этикетки_KZ (утвердить шаблон лицевых этикеток и буклетной)</t>
  </si>
  <si>
    <t>Этикетки_KZ (подготовка к печати, проверка)</t>
  </si>
  <si>
    <t>Галошанс, Глифошанс Супер, Дишанс, Еврошанс, Зимошанс, Имидашанс, Каратошанс, Лерашанс, Пришанс, Пропишанс Супер, Скорошанс, Фасшанс, Шанс ДКБ, Шансгард, Шансил Ультра, Шансюген</t>
  </si>
  <si>
    <t>Проверка этикеток ВЭД</t>
  </si>
  <si>
    <t>ДВД Шан (этикетка + проверка + подготовка к печати)</t>
  </si>
  <si>
    <t>Ждем от типографии</t>
  </si>
  <si>
    <t xml:space="preserve">Этикетки_Киргизия (проверка, препараты подготовить для печати) </t>
  </si>
  <si>
    <t>В работе у дизайнера + ждем перевод</t>
  </si>
  <si>
    <t>Еврошанс, зенкошанс, имазошанс (изменить тексты регламентов, шаблон этикетки, форматирование текста, проверка на ошибки)</t>
  </si>
  <si>
    <t>Преимущества продукта - сводная по лекциям Г.Я.</t>
  </si>
  <si>
    <t>Командировка в Казань: выставка ТатАгроЭкспо</t>
  </si>
  <si>
    <t>посещение выставки, контроль работы стендистов, анализ конкурентов</t>
  </si>
  <si>
    <t>Выдача полиграфии сотрудникам офиса, в том числе  (ТП Воронеж) по запросу (сбор комплектов)</t>
  </si>
  <si>
    <t>Проработка запроса по установке колонны для указателя на завод</t>
  </si>
  <si>
    <t>запрос разослан</t>
  </si>
  <si>
    <t>выпонено</t>
  </si>
  <si>
    <t>Запрос на медиапланирование от агенств по размещению в СМИ и интернете</t>
  </si>
  <si>
    <t>запрос отправлен</t>
  </si>
  <si>
    <t>Отправка материалов в Москву</t>
  </si>
  <si>
    <t>в процессе получения информации</t>
  </si>
  <si>
    <t>Контроль брендирования автомобилей Благовещенск, Казахстан</t>
  </si>
  <si>
    <t>Благовещенск выполнено</t>
  </si>
  <si>
    <t>Курирование вопросов по размещению билбордов в городах</t>
  </si>
  <si>
    <t>Подготовка заказа на футболки и бейсболки для регионов</t>
  </si>
  <si>
    <t>пауза</t>
  </si>
  <si>
    <t>Бриф для колл-центра на обзвон холодной базы</t>
  </si>
  <si>
    <t>отменен</t>
  </si>
  <si>
    <t>Анализ инструментов MS Office для реализации SOS кнопки</t>
  </si>
  <si>
    <t>Настройка функционала и реализация SOS кнопки.</t>
  </si>
  <si>
    <t>Анализ ДВ</t>
  </si>
  <si>
    <r>
      <rPr>
        <rFont val="Arial"/>
        <color rgb="FF000000"/>
        <sz val="10.0"/>
      </rPr>
      <t xml:space="preserve">Ростов?, БАшкирия, </t>
    </r>
    <r>
      <rPr>
        <rFont val="Arial"/>
        <b/>
        <color rgb="FF000000"/>
        <sz val="10.0"/>
      </rPr>
      <t>Чувашия согласован?!</t>
    </r>
    <r>
      <rPr>
        <rFont val="Arial"/>
        <color rgb="FF000000"/>
        <sz val="10.0"/>
      </rPr>
      <t xml:space="preserve"> в работе</t>
    </r>
  </si>
  <si>
    <t>Брендирование Тентов на Газоны 10 шт  и Валдаи.  брендирование 4х Валдаев (бока кузова)</t>
  </si>
  <si>
    <t>макеты в работе, тенты у монтажников в работе (3 шт), машины Нияз будет гнать на замеры</t>
  </si>
  <si>
    <t>изготовление</t>
  </si>
  <si>
    <t>макеты отправлены в печать. Контроль изготовления</t>
  </si>
  <si>
    <t>2 вида флажков 20х300р= 6000 р.  Оплата прошла, идет изготовление</t>
  </si>
  <si>
    <t>визитки Белгород макет + Крым+ Калмыкия+ заказать визитки Бражникову С.Н.+Мордовия+ Саранск</t>
  </si>
  <si>
    <t xml:space="preserve">Адаптировать макет билборда на все регионы </t>
  </si>
  <si>
    <t>Пенза, Челябинск, Самара, Баранаул,  Омск, Саратов</t>
  </si>
  <si>
    <t>Новосиб, Белгород, Волгоград, Ростов, Ставрополь, Краснодар, Воронеж</t>
  </si>
  <si>
    <t>Адаптировать макеты на Шанс ТРЕЙД для ЛЮДМИЛЫ 171</t>
  </si>
  <si>
    <t>заменить лого ГК Шанс На ШАНС ТРЕЙД</t>
  </si>
  <si>
    <t xml:space="preserve">Макет на приглашение Саратов отправить и напечатать Кондакову 5 шт </t>
  </si>
  <si>
    <t>инфу получила готовлю макет</t>
  </si>
  <si>
    <t>Подготовить и отправить под размеры макеты на оклейку крым (выставка)</t>
  </si>
  <si>
    <t>информация по размерам получилена от Риты</t>
  </si>
  <si>
    <t>Подготовить макеты  и отправирть их на Ростов (Таблички, Баннера, РОлл апы, Визитки)</t>
  </si>
  <si>
    <t>инфу получила готовлю макеты</t>
  </si>
  <si>
    <t>Заказать 2 ролл апа для Саратова + найти и печатнуть инструкцию для сборкистойки</t>
  </si>
  <si>
    <t>Счет согласован с Ю.Д. передала в оплату, макеты в работу</t>
  </si>
  <si>
    <t>Голуб Олег Иванович ВИЗИТКИ ЗАКАЗАЛА</t>
  </si>
  <si>
    <t>будут готовы 1-2 го марта, Он в курсе.</t>
  </si>
  <si>
    <t>в приоритете (c.116)</t>
  </si>
  <si>
    <t>риски 0,5 см, два варианта 35 и 33 см</t>
  </si>
  <si>
    <t>Таня прислала 12 числа текст</t>
  </si>
  <si>
    <t>Сувенирка для Сабины + адаптация блокнота для Азербайджана и для Казахстана</t>
  </si>
  <si>
    <t xml:space="preserve">Агроволга -день поля </t>
  </si>
  <si>
    <t>нам выделили большую площадь,нужно решить вопрос о ее делении</t>
  </si>
  <si>
    <t xml:space="preserve">ТЗ для ивент агенств ко дню поля разослать </t>
  </si>
  <si>
    <t>получена форма для заполнения -нужно составить ТЗ и разослать</t>
  </si>
  <si>
    <t>отчет по всем мероприятиям +доработка всех остальных</t>
  </si>
  <si>
    <t>Тамбов,Брянск-создание заявки на сайте</t>
  </si>
  <si>
    <t>тамбов-с прошлого года осталяся,брянс содана заявка и подписан договор,счет на оплате</t>
  </si>
  <si>
    <t>Экскурсия вторник- воронеж,рязань</t>
  </si>
  <si>
    <t>на заводе целый день</t>
  </si>
  <si>
    <t>экскурсия четверг-тула,тамбов</t>
  </si>
  <si>
    <t xml:space="preserve">готово </t>
  </si>
  <si>
    <t>экскурсия пятница-липецк,ульяновск</t>
  </si>
  <si>
    <t>до 26.02.2021</t>
  </si>
  <si>
    <t>Запросить КП на разработку Азербайджанской и Киргизской версий + составить список правок</t>
  </si>
  <si>
    <t>Удалить неиспользуемые почты</t>
  </si>
  <si>
    <t>Созвониться с агентством по поводу продвижения</t>
  </si>
  <si>
    <t>Убедить Мэйл.ру перекинуть ещё 50 учеток на домен шанс-групп</t>
  </si>
  <si>
    <t>Перераспределили учетки в пропорции: 350 - групп, 150 - завод</t>
  </si>
  <si>
    <t>Залить видео на Ютуб + создать интерактивную картинку со ссылкой</t>
  </si>
  <si>
    <t>Развернуто расписать список проделанного за неделю</t>
  </si>
  <si>
    <t>Скорректировать инфу в описаниях в соцсетях</t>
  </si>
  <si>
    <t>Создать список рассылки и ящик по запросу Татьяны Акимовой</t>
  </si>
  <si>
    <t>Список создан, уточнить, что имеют в виду под ящиком "Шанс на связи"</t>
  </si>
  <si>
    <t>Поиск подрядчика на СЕО и Контекст или агентства РА полного цикла</t>
  </si>
  <si>
    <t>Разместить данные о компании в 2ГИС, Яндекс и Гугл</t>
  </si>
  <si>
    <t>Сергей, я дедлайн написала, ты не указал сроки. а это важно для продаж- поиск по картам</t>
  </si>
  <si>
    <t>Подготовить договор и оплатить хостинг</t>
  </si>
  <si>
    <t>Контролировать вопрос с оплатой доменов и хостингов!</t>
  </si>
  <si>
    <t>до 19.02.2021</t>
  </si>
  <si>
    <t xml:space="preserve">Алатайская НИВА статья https://niva-media.ru/journal/1-2-yanvar-fevral-2021-g/, журнал НИва+, статья, , добавить про кнопку sos@shans-group.com, 
Сообщения будут приходить одновременно к следующим ответственным по отделам:
seb@shans-group.com  Марина Николаевна  СЭБ
abozhkova@shans-group.com Анастасия  Божкова -Продажи и копия- ozakharchenko@shans-group.com Олег Захарченко
khlynina@shans-group.com — Мария Хлынина от HR
verastol@shans-group.com    Вера Столярова от  Маркетинга и копия dav@shans-group.com  Дундукова Анна 
В тексте рассылки нужно написать, что в случае выявленных действиях, как стихийных и случайных, так и  со стороны сотрудников, которые мешают продажам, тормозят процесс продаж, выставляют компанию Шанс в неприглядном свете и т.п. ВАЖНО сообщать о факте, делиться сомнениями и предложениями  с центральным офисом через  SOS почту.
Собственник заверил, что никто не будет уволен, но  компания примет к сведению, разберется и сделает все, чтобы наша мы стали более эффективными. Меняется компания, меняются  и взаимоотношения,  мы становимся более открытыми  и прозрачными.  ДОБАВИТЬ ПРО ПАПКУ "МАТЕРИАЛЫ ДЛЯ СЕМИНАРА". ДОБАВИТЬ АГРОФОРУМ </t>
  </si>
  <si>
    <t>до 25.02.2021</t>
  </si>
  <si>
    <t>Все экскурсии за эту неделю</t>
  </si>
  <si>
    <t>Видеодайджест выпуск 2</t>
  </si>
  <si>
    <t>в след. выпуск снять Риту с календарем посещения завода + две экскурсии+выставка Челябинск+Паша с результатами недели+ Страмчинский с репортажа с зерновой выставки! + Пенза+Макс</t>
  </si>
  <si>
    <t>Воронежский агровестник - статья в номер на 11 марта ( Экскурсия+ о компании) 2/2</t>
  </si>
  <si>
    <t>Поздравлялка с 23 февраля</t>
  </si>
  <si>
    <t>Тамбовская жизнь ( Экскурсия+ о компании) 1/1</t>
  </si>
  <si>
    <t>Крестьянский двор ( Саратов 18.02) - статья семинар+о компании 1/1</t>
  </si>
  <si>
    <t>до 25.02.2022</t>
  </si>
  <si>
    <t>Согласование статьи в Аграрную науку</t>
  </si>
  <si>
    <t xml:space="preserve">Статья для Калмыкии ( после экскурсии) </t>
  </si>
  <si>
    <t>до 01.03.2021</t>
  </si>
  <si>
    <t>Астрахань семинар РСХЦ Новость</t>
  </si>
  <si>
    <t>Бриф на видеоролик для лед-экранов</t>
  </si>
  <si>
    <t>ПЕНЗА МОЛОДЦЫ!</t>
  </si>
  <si>
    <t>Выставка Челябинск новость</t>
  </si>
  <si>
    <t>Семинар Саратов</t>
  </si>
  <si>
    <t>Аграрное Поволжье статья в газету срочно</t>
  </si>
  <si>
    <t>Статья и макет в журнал Деловая Мордовия</t>
  </si>
  <si>
    <t>ДВД Шанс (этикетка + проверка + подготовка к печати)</t>
  </si>
  <si>
    <t>Шанстил трио (этикетка + проверка + подготовка к печати)</t>
  </si>
  <si>
    <t>Выполнено, на проверке у ВЭД и ОТК</t>
  </si>
  <si>
    <t>Шансил RU  (этикетка + проверка + подготовка к печати)</t>
  </si>
  <si>
    <t>Скорошанс RU  (этикетка + проверка + подготовка к печати)</t>
  </si>
  <si>
    <t>Заявка на печать этикеток №8, №9</t>
  </si>
  <si>
    <t xml:space="preserve">Открытка к 23 февраля + рите вэд 164 + подпись от шефа </t>
  </si>
  <si>
    <t>Заявка на печать этикеток №10</t>
  </si>
  <si>
    <t>Прописать очередность этикеток азербайджан на основе файла от ВЭД</t>
  </si>
  <si>
    <t xml:space="preserve">Шаблон для этикеток Грузия  </t>
  </si>
  <si>
    <t>В работе у ОТК и Максима, ждем проверенные тексты</t>
  </si>
  <si>
    <t>Шаблон для этикеток Армения</t>
  </si>
  <si>
    <t>Этикетки_KZ (правки)</t>
  </si>
  <si>
    <t>Веер вредные объекты и болезни (макет шаблона)</t>
  </si>
  <si>
    <t>Задача снята, на каргизию пойдут русские этикетки</t>
  </si>
  <si>
    <t>Командировка Челябинск: выставка-конференция "МАК 2021"</t>
  </si>
  <si>
    <t>контроль работы стендистов, анализ конкурентов, прием стенда, работа с документами</t>
  </si>
  <si>
    <t>Экскурсия на завод: Липецк</t>
  </si>
  <si>
    <t>фотоотчет с экскурсии загружен в папку с фото</t>
  </si>
  <si>
    <t>Скбросить все фото и видео с выставок в Казани и Челябинске на сетевой ресурс</t>
  </si>
  <si>
    <t>все фото и видео залиты в папку на сетевом диске</t>
  </si>
  <si>
    <t>Подготовить и сдать авансовый отчет с командировок в Казань и Челябинск в бухгалтерию</t>
  </si>
  <si>
    <t>авансовый отчет сдан подготовлен и сдан в бухгалтерию</t>
  </si>
  <si>
    <t>Контроль поступления материалов по сумке агронома</t>
  </si>
  <si>
    <t>на контроле</t>
  </si>
  <si>
    <t>контроль получения</t>
  </si>
  <si>
    <t>Контроль заявки по баннерной растяжке в борисоглебске</t>
  </si>
  <si>
    <t>Контроль заявки блокнотов агронома.</t>
  </si>
  <si>
    <t>Согласование и проработка СЗ на размещение билбордов для не согласованных городов. Милованов</t>
  </si>
  <si>
    <t>Заявка на сувениры к 8 марта для клиентов</t>
  </si>
  <si>
    <t>заявка сформирована</t>
  </si>
  <si>
    <t>Функция</t>
  </si>
  <si>
    <t>Сервис</t>
  </si>
  <si>
    <t>Октябрь</t>
  </si>
  <si>
    <t>Ноябрь</t>
  </si>
  <si>
    <t>Посевы</t>
  </si>
  <si>
    <t xml:space="preserve"> Агентство ИП Мельников Дмитрий Алексеевич</t>
  </si>
  <si>
    <t>Telegram ООО "ТЕЛЕКОТ"  [бюджет]</t>
  </si>
  <si>
    <t>ВК ООО "ВК" [бюджет]</t>
  </si>
  <si>
    <t>MAX [бюджет]</t>
  </si>
  <si>
    <t>YouTube [интеграция]</t>
  </si>
  <si>
    <t>Дзен</t>
  </si>
  <si>
    <t>Итого</t>
  </si>
  <si>
    <t>Реклама</t>
  </si>
  <si>
    <t>ООО "СМБ-Сервис"
Яндекс Директ 
ВК реклама
Telegram ads</t>
  </si>
  <si>
    <t>Маркетплейсы</t>
  </si>
  <si>
    <t>Лиды b2b</t>
  </si>
  <si>
    <t>SEO</t>
  </si>
  <si>
    <t>SEO сервисы</t>
  </si>
  <si>
    <t>Блоги</t>
  </si>
  <si>
    <t>VC.ru</t>
  </si>
  <si>
    <t>Сервисы</t>
  </si>
  <si>
    <t>Хостинг сайта</t>
  </si>
  <si>
    <t>ChatGPT Sora-2</t>
  </si>
  <si>
    <t>Hailuoai.video</t>
  </si>
  <si>
    <t xml:space="preserve">Livedune </t>
  </si>
  <si>
    <t>Veo</t>
  </si>
  <si>
    <t>Telemetr</t>
  </si>
  <si>
    <t>Taplike.ru</t>
  </si>
  <si>
    <t>Taplink</t>
  </si>
  <si>
    <t>Яндекс Плюс (Музыка)</t>
  </si>
  <si>
    <t>Итого Бюджет</t>
  </si>
  <si>
    <t>Итого SEO</t>
  </si>
  <si>
    <t>Итого Агентство</t>
  </si>
  <si>
    <t>Итого Агентство+Бюджет</t>
  </si>
  <si>
    <t xml:space="preserve">Telegram пдп (кол-во) </t>
  </si>
  <si>
    <t xml:space="preserve">Telegram пдп (cost) </t>
  </si>
  <si>
    <t>Вконтакте пдп (кол-во)</t>
  </si>
  <si>
    <t>Вконтакте пдп (cost)</t>
  </si>
  <si>
    <t>Max (кол-во)</t>
  </si>
  <si>
    <t>Max (cost)</t>
  </si>
  <si>
    <t>Сайт</t>
  </si>
  <si>
    <t>Клики</t>
  </si>
  <si>
    <t>Стоимость клика (без агенства)</t>
  </si>
  <si>
    <t>Стоимость клика (с агенством)</t>
  </si>
  <si>
    <t>Вовл. пользователь</t>
  </si>
  <si>
    <t>Стоимость вовл. (без агенства)</t>
  </si>
  <si>
    <t>Стоимость вовл. (с агенством)</t>
  </si>
  <si>
    <t>Корзина</t>
  </si>
  <si>
    <t>Стоимость корз. (без агенства)</t>
  </si>
  <si>
    <t>Стоимость корз. (с агенством)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</si>
</sst>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\.m\.yyyy"/>
    <numFmt numFmtId="165" formatCode="dd\.mm\.yyyy"/>
    <numFmt numFmtId="166" formatCode="d\.m"/>
    <numFmt numFmtId="167" formatCode="m\.yyyy"/>
    <numFmt numFmtId="168" formatCode="d\.m\.yy"/>
    <numFmt numFmtId="169" formatCode="dd\.mm\.yy"/>
    <numFmt numFmtId="170" formatCode="[$р.-419]#,##0"/>
    <numFmt numFmtId="171" formatCode="[$р.-419]#,##0.00"/>
  </numFmts>
  <fonts count="39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trike/>
      <sz val="10.0"/>
      <color theme="1"/>
      <name val="Arial"/>
    </font>
    <font>
      <strike/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rgb="FF000000"/>
      <name val="Roboto"/>
    </font>
    <font>
      <strike/>
      <sz val="10.0"/>
      <color rgb="FF000000"/>
      <name val="Roboto"/>
    </font>
    <font>
      <strike/>
      <sz val="10.0"/>
      <color rgb="FF000000"/>
      <name val="Arial"/>
    </font>
    <font>
      <u/>
      <sz val="10.0"/>
      <color rgb="FF1155CC"/>
      <name val="Arial"/>
    </font>
    <font>
      <sz val="10.0"/>
      <color rgb="FFFF0000"/>
      <name val="Arial"/>
    </font>
    <font>
      <sz val="10.0"/>
      <color rgb="FFFF0000"/>
      <name val="Roboto"/>
    </font>
    <font>
      <b/>
      <sz val="10.0"/>
      <color rgb="FF000000"/>
      <name val="Roboto"/>
    </font>
    <font>
      <strike/>
      <sz val="11.0"/>
      <color rgb="FF000000"/>
      <name val="Inconsolata"/>
    </font>
    <font>
      <sz val="11.0"/>
      <color rgb="FF000000"/>
      <name val="Inconsolata"/>
    </font>
    <font>
      <strike/>
      <sz val="10.0"/>
      <color rgb="FFFF0000"/>
      <name val="Arial"/>
    </font>
    <font>
      <b/>
      <strike/>
      <sz val="10.0"/>
      <color rgb="FF000000"/>
      <name val="Roboto"/>
    </font>
    <font>
      <b/>
      <strike/>
      <sz val="10.0"/>
      <color rgb="FF000000"/>
      <name val="Arial"/>
    </font>
    <font>
      <strike/>
      <sz val="10.0"/>
      <color rgb="FF1155CC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b/>
      <strike/>
      <sz val="11.0"/>
      <color rgb="FF000000"/>
      <name val="Inconsolata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b/>
      <color rgb="FFFFFFFF"/>
      <name val="Arial"/>
      <scheme val="minor"/>
    </font>
    <font>
      <sz val="12.0"/>
      <color rgb="FF00000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8D1D1"/>
        <bgColor rgb="FFF8D1D1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</fills>
  <borders count="10">
    <border/>
    <border>
      <left/>
      <right/>
      <top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3" fontId="2" numFmtId="0" xfId="0" applyAlignment="1" applyBorder="1" applyFill="1" applyFont="1">
      <alignment horizontal="left" shrinkToFit="0" wrapText="1"/>
    </xf>
    <xf borderId="1" fillId="3" fontId="1" numFmtId="0" xfId="0" applyBorder="1" applyFont="1"/>
    <xf borderId="1" fillId="3" fontId="1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/>
    </xf>
    <xf borderId="1" fillId="3" fontId="1" numFmtId="0" xfId="0" applyAlignment="1" applyBorder="1" applyFont="1">
      <alignment horizontal="right" shrinkToFit="0" wrapText="1"/>
    </xf>
    <xf borderId="1" fillId="4" fontId="1" numFmtId="0" xfId="0" applyAlignment="1" applyBorder="1" applyFill="1" applyFont="1">
      <alignment shrinkToFit="0" wrapText="1"/>
    </xf>
    <xf borderId="1" fillId="4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4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1" fillId="4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4" fontId="4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/>
    </xf>
    <xf borderId="1" fillId="4" fontId="1" numFmtId="0" xfId="0" applyBorder="1" applyFont="1"/>
    <xf borderId="0" fillId="0" fontId="6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vertical="center"/>
    </xf>
    <xf borderId="1" fillId="5" fontId="1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1" fillId="4" fontId="8" numFmtId="0" xfId="0" applyAlignment="1" applyBorder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" fillId="4" fontId="4" numFmtId="0" xfId="0" applyBorder="1" applyFont="1"/>
    <xf borderId="0" fillId="0" fontId="4" numFmtId="0" xfId="0" applyFont="1"/>
    <xf borderId="1" fillId="4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shrinkToFit="0" vertical="center" wrapText="1"/>
    </xf>
    <xf borderId="1" fillId="4" fontId="4" numFmtId="164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shrinkToFit="0" vertical="center" wrapText="1"/>
    </xf>
    <xf borderId="1" fillId="3" fontId="1" numFmtId="165" xfId="0" applyBorder="1" applyFont="1" applyNumberFormat="1"/>
    <xf borderId="1" fillId="3" fontId="1" numFmtId="0" xfId="0" applyAlignment="1" applyBorder="1" applyFont="1">
      <alignment horizontal="center" shrinkToFit="0" wrapText="1"/>
    </xf>
    <xf borderId="0" fillId="0" fontId="1" numFmtId="165" xfId="0" applyFont="1" applyNumberFormat="1"/>
    <xf borderId="1" fillId="4" fontId="3" numFmtId="0" xfId="0" applyBorder="1" applyFont="1"/>
    <xf borderId="0" fillId="0" fontId="1" numFmtId="166" xfId="0" applyAlignment="1" applyFont="1" applyNumberFormat="1">
      <alignment horizontal="left"/>
    </xf>
    <xf borderId="1" fillId="4" fontId="1" numFmtId="167" xfId="0" applyBorder="1" applyFont="1" applyNumberFormat="1"/>
    <xf borderId="1" fillId="4" fontId="1" numFmtId="164" xfId="0" applyBorder="1" applyFont="1" applyNumberFormat="1"/>
    <xf borderId="1" fillId="6" fontId="1" numFmtId="0" xfId="0" applyAlignment="1" applyBorder="1" applyFill="1" applyFont="1">
      <alignment shrinkToFit="0" wrapText="1"/>
    </xf>
    <xf borderId="1" fillId="3" fontId="1" numFmtId="164" xfId="0" applyBorder="1" applyFont="1" applyNumberFormat="1"/>
    <xf borderId="1" fillId="7" fontId="8" numFmtId="0" xfId="0" applyAlignment="1" applyBorder="1" applyFill="1" applyFont="1">
      <alignment horizontal="left"/>
    </xf>
    <xf borderId="0" fillId="0" fontId="1" numFmtId="164" xfId="0" applyFont="1" applyNumberFormat="1"/>
    <xf borderId="1" fillId="4" fontId="8" numFmtId="0" xfId="0" applyAlignment="1" applyBorder="1" applyFont="1">
      <alignment horizontal="left"/>
    </xf>
    <xf borderId="1" fillId="7" fontId="1" numFmtId="0" xfId="0" applyAlignment="1" applyBorder="1" applyFont="1">
      <alignment shrinkToFit="0" wrapText="1"/>
    </xf>
    <xf borderId="1" fillId="8" fontId="1" numFmtId="0" xfId="0" applyAlignment="1" applyBorder="1" applyFill="1" applyFont="1">
      <alignment shrinkToFit="0" wrapText="1"/>
    </xf>
    <xf borderId="0" fillId="0" fontId="1" numFmtId="168" xfId="0" applyFont="1" applyNumberFormat="1"/>
    <xf borderId="1" fillId="5" fontId="1" numFmtId="0" xfId="0" applyAlignment="1" applyBorder="1" applyFont="1">
      <alignment vertical="center"/>
    </xf>
    <xf borderId="1" fillId="4" fontId="10" numFmtId="0" xfId="0" applyAlignment="1" applyBorder="1" applyFont="1">
      <alignment shrinkToFit="0" wrapText="1"/>
    </xf>
    <xf borderId="0" fillId="0" fontId="1" numFmtId="165" xfId="0" applyAlignment="1" applyFont="1" applyNumberFormat="1">
      <alignment horizontal="center" vertical="center"/>
    </xf>
    <xf borderId="1" fillId="9" fontId="1" numFmtId="0" xfId="0" applyAlignment="1" applyBorder="1" applyFill="1" applyFont="1">
      <alignment shrinkToFit="0" wrapText="1"/>
    </xf>
    <xf borderId="1" fillId="6" fontId="8" numFmtId="0" xfId="0" applyAlignment="1" applyBorder="1" applyFont="1">
      <alignment horizontal="left"/>
    </xf>
    <xf borderId="1" fillId="6" fontId="1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Font="1"/>
    <xf borderId="1" fillId="4" fontId="1" numFmtId="0" xfId="0" applyAlignment="1" applyBorder="1" applyFont="1">
      <alignment horizontal="center" shrinkToFit="0" wrapText="1"/>
    </xf>
    <xf borderId="1" fillId="4" fontId="1" numFmtId="164" xfId="0" applyAlignment="1" applyBorder="1" applyFont="1" applyNumberFormat="1">
      <alignment horizontal="center"/>
    </xf>
    <xf borderId="1" fillId="4" fontId="3" numFmtId="0" xfId="0" applyAlignment="1" applyBorder="1" applyFont="1">
      <alignment shrinkToFit="0" wrapText="1"/>
    </xf>
    <xf borderId="1" fillId="4" fontId="3" numFmtId="16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 shrinkToFit="0" wrapText="1"/>
    </xf>
    <xf borderId="1" fillId="4" fontId="4" numFmtId="164" xfId="0" applyAlignment="1" applyBorder="1" applyFont="1" applyNumberFormat="1">
      <alignment horizontal="center"/>
    </xf>
    <xf borderId="1" fillId="4" fontId="4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shrinkToFit="0" wrapText="1"/>
    </xf>
    <xf borderId="0" fillId="0" fontId="1" numFmtId="0" xfId="0" applyAlignment="1" applyFont="1">
      <alignment horizontal="left"/>
    </xf>
    <xf borderId="0" fillId="0" fontId="1" numFmtId="168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1" fillId="11" fontId="1" numFmtId="0" xfId="0" applyAlignment="1" applyBorder="1" applyFill="1" applyFont="1">
      <alignment shrinkToFit="0" wrapText="1"/>
    </xf>
    <xf borderId="1" fillId="4" fontId="8" numFmtId="0" xfId="0" applyAlignment="1" applyBorder="1" applyFont="1">
      <alignment shrinkToFit="0" wrapText="1"/>
    </xf>
    <xf borderId="1" fillId="8" fontId="8" numFmtId="0" xfId="0" applyAlignment="1" applyBorder="1" applyFont="1">
      <alignment horizontal="left"/>
    </xf>
    <xf borderId="1" fillId="12" fontId="1" numFmtId="0" xfId="0" applyAlignment="1" applyBorder="1" applyFill="1" applyFont="1">
      <alignment shrinkToFit="0" wrapText="1"/>
    </xf>
    <xf borderId="0" fillId="0" fontId="11" numFmtId="0" xfId="0" applyAlignment="1" applyFont="1">
      <alignment shrinkToFit="0" wrapText="1"/>
    </xf>
    <xf borderId="1" fillId="10" fontId="1" numFmtId="164" xfId="0" applyBorder="1" applyFont="1" applyNumberFormat="1"/>
    <xf borderId="1" fillId="10" fontId="1" numFmtId="0" xfId="0" applyBorder="1" applyFont="1"/>
    <xf borderId="1" fillId="10" fontId="1" numFmtId="165" xfId="0" applyBorder="1" applyFont="1" applyNumberFormat="1"/>
    <xf borderId="0" fillId="0" fontId="1" numFmtId="165" xfId="0" applyAlignment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center"/>
    </xf>
    <xf borderId="1" fillId="13" fontId="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wrapText="1"/>
    </xf>
    <xf borderId="1" fillId="14" fontId="1" numFmtId="0" xfId="0" applyAlignment="1" applyBorder="1" applyFill="1" applyFont="1">
      <alignment shrinkToFit="0" wrapText="1"/>
    </xf>
    <xf borderId="1" fillId="5" fontId="3" numFmtId="0" xfId="0" applyAlignment="1" applyBorder="1" applyFont="1">
      <alignment shrinkToFit="0" vertical="center" wrapText="1"/>
    </xf>
    <xf borderId="0" fillId="0" fontId="1" numFmtId="167" xfId="0" applyFont="1" applyNumberFormat="1"/>
    <xf borderId="1" fillId="6" fontId="1" numFmtId="164" xfId="0" applyBorder="1" applyFont="1" applyNumberFormat="1"/>
    <xf borderId="1" fillId="7" fontId="12" numFmtId="0" xfId="0" applyAlignment="1" applyBorder="1" applyFont="1">
      <alignment shrinkToFit="0" wrapText="1"/>
    </xf>
    <xf borderId="1" fillId="15" fontId="1" numFmtId="0" xfId="0" applyAlignment="1" applyBorder="1" applyFill="1" applyFont="1">
      <alignment shrinkToFit="0" wrapText="1"/>
    </xf>
    <xf borderId="1" fillId="15" fontId="1" numFmtId="0" xfId="0" applyBorder="1" applyFont="1"/>
    <xf borderId="2" fillId="16" fontId="2" numFmtId="0" xfId="0" applyAlignment="1" applyBorder="1" applyFill="1" applyFont="1">
      <alignment horizontal="left" shrinkToFit="0" wrapText="1"/>
    </xf>
    <xf borderId="2" fillId="16" fontId="1" numFmtId="0" xfId="0" applyBorder="1" applyFont="1"/>
    <xf borderId="2" fillId="16" fontId="1" numFmtId="0" xfId="0" applyAlignment="1" applyBorder="1" applyFont="1">
      <alignment shrinkToFit="0" wrapText="1"/>
    </xf>
    <xf borderId="1" fillId="10" fontId="1" numFmtId="0" xfId="0" applyAlignment="1" applyBorder="1" applyFont="1">
      <alignment horizontal="center" shrinkToFit="0" wrapText="1"/>
    </xf>
    <xf borderId="2" fillId="16" fontId="3" numFmtId="0" xfId="0" applyAlignment="1" applyBorder="1" applyFont="1">
      <alignment shrinkToFit="0" wrapText="1"/>
    </xf>
    <xf borderId="2" fillId="16" fontId="1" numFmtId="0" xfId="0" applyAlignment="1" applyBorder="1" applyFont="1">
      <alignment horizontal="left"/>
    </xf>
    <xf borderId="2" fillId="16" fontId="1" numFmtId="0" xfId="0" applyAlignment="1" applyBorder="1" applyFont="1">
      <alignment horizontal="right" shrinkToFit="0" wrapText="1"/>
    </xf>
    <xf borderId="1" fillId="4" fontId="13" numFmtId="164" xfId="0" applyAlignment="1" applyBorder="1" applyFont="1" applyNumberFormat="1">
      <alignment horizontal="center"/>
    </xf>
    <xf borderId="0" fillId="0" fontId="4" numFmtId="0" xfId="0" applyAlignment="1" applyFont="1">
      <alignment horizontal="left" shrinkToFit="0" vertical="center" wrapText="1"/>
    </xf>
    <xf borderId="1" fillId="4" fontId="1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 shrinkToFit="0" vertical="center" wrapText="1"/>
    </xf>
    <xf borderId="1" fillId="4" fontId="15" numFmtId="0" xfId="0" applyAlignment="1" applyBorder="1" applyFont="1">
      <alignment horizontal="left" vertical="center"/>
    </xf>
    <xf borderId="2" fillId="16" fontId="1" numFmtId="165" xfId="0" applyBorder="1" applyFont="1" applyNumberFormat="1"/>
    <xf borderId="2" fillId="16" fontId="1" numFmtId="0" xfId="0" applyAlignment="1" applyBorder="1" applyFont="1">
      <alignment horizontal="center" shrinkToFit="0" wrapText="1"/>
    </xf>
    <xf borderId="1" fillId="13" fontId="1" numFmtId="0" xfId="0" applyBorder="1" applyFont="1"/>
    <xf borderId="1" fillId="4" fontId="8" numFmtId="0" xfId="0" applyAlignment="1" applyBorder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2" fillId="16" fontId="2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1" fillId="16" fontId="1" numFmtId="165" xfId="0" applyAlignment="1" applyBorder="1" applyFont="1" applyNumberFormat="1">
      <alignment horizontal="center"/>
    </xf>
    <xf borderId="1" fillId="16" fontId="1" numFmtId="0" xfId="0" applyBorder="1" applyFont="1"/>
    <xf borderId="2" fillId="16" fontId="1" numFmtId="0" xfId="0" applyAlignment="1" applyBorder="1" applyFont="1">
      <alignment horizontal="center"/>
    </xf>
    <xf borderId="1" fillId="4" fontId="16" numFmtId="0" xfId="0" applyBorder="1" applyFont="1"/>
    <xf borderId="1" fillId="5" fontId="3" numFmtId="0" xfId="0" applyAlignment="1" applyBorder="1" applyFont="1">
      <alignment shrinkToFit="0" wrapText="1"/>
    </xf>
    <xf borderId="1" fillId="5" fontId="1" numFmtId="0" xfId="0" applyAlignment="1" applyBorder="1" applyFont="1">
      <alignment shrinkToFit="0" wrapText="1"/>
    </xf>
    <xf borderId="1" fillId="17" fontId="1" numFmtId="0" xfId="0" applyAlignment="1" applyBorder="1" applyFill="1" applyFont="1">
      <alignment shrinkToFit="0" wrapText="1"/>
    </xf>
    <xf borderId="1" fillId="12" fontId="1" numFmtId="0" xfId="0" applyBorder="1" applyFont="1"/>
    <xf borderId="1" fillId="12" fontId="1" numFmtId="164" xfId="0" applyBorder="1" applyFont="1" applyNumberFormat="1"/>
    <xf borderId="1" fillId="14" fontId="1" numFmtId="164" xfId="0" applyBorder="1" applyFont="1" applyNumberFormat="1"/>
    <xf borderId="2" fillId="16" fontId="1" numFmtId="164" xfId="0" applyBorder="1" applyFont="1" applyNumberFormat="1"/>
    <xf borderId="0" fillId="0" fontId="1" numFmtId="164" xfId="0" applyAlignment="1" applyFont="1" applyNumberFormat="1">
      <alignment horizontal="right"/>
    </xf>
    <xf borderId="1" fillId="8" fontId="1" numFmtId="0" xfId="0" applyBorder="1" applyFont="1"/>
    <xf borderId="2" fillId="4" fontId="1" numFmtId="0" xfId="0" applyAlignment="1" applyBorder="1" applyFont="1">
      <alignment shrinkToFit="0" wrapText="1"/>
    </xf>
    <xf borderId="3" fillId="0" fontId="1" numFmtId="164" xfId="0" applyAlignment="1" applyBorder="1" applyFont="1" applyNumberFormat="1">
      <alignment horizontal="right"/>
    </xf>
    <xf borderId="3" fillId="0" fontId="1" numFmtId="0" xfId="0" applyBorder="1" applyFont="1"/>
    <xf borderId="1" fillId="10" fontId="1" numFmtId="165" xfId="0" applyAlignment="1" applyBorder="1" applyFont="1" applyNumberFormat="1">
      <alignment horizontal="right"/>
    </xf>
    <xf borderId="1" fillId="10" fontId="1" numFmtId="168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right"/>
    </xf>
    <xf borderId="2" fillId="16" fontId="1" numFmtId="168" xfId="0" applyBorder="1" applyFont="1" applyNumberFormat="1"/>
    <xf borderId="1" fillId="18" fontId="1" numFmtId="0" xfId="0" applyAlignment="1" applyBorder="1" applyFill="1" applyFont="1">
      <alignment horizontal="center" shrinkToFit="0" wrapText="1"/>
    </xf>
    <xf borderId="1" fillId="4" fontId="13" numFmtId="0" xfId="0" applyAlignment="1" applyBorder="1" applyFont="1">
      <alignment horizontal="center"/>
    </xf>
    <xf borderId="0" fillId="0" fontId="1" numFmtId="165" xfId="0" applyAlignment="1" applyFont="1" applyNumberFormat="1">
      <alignment horizontal="left"/>
    </xf>
    <xf borderId="0" fillId="0" fontId="15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19" fontId="1" numFmtId="0" xfId="0" applyAlignment="1" applyBorder="1" applyFill="1" applyFont="1">
      <alignment vertical="center"/>
    </xf>
    <xf borderId="1" fillId="4" fontId="15" numFmtId="164" xfId="0" applyAlignment="1" applyBorder="1" applyFont="1" applyNumberFormat="1">
      <alignment horizontal="center"/>
    </xf>
    <xf borderId="1" fillId="18" fontId="1" numFmtId="0" xfId="0" applyAlignment="1" applyBorder="1" applyFont="1">
      <alignment shrinkToFit="0" wrapText="1"/>
    </xf>
    <xf borderId="1" fillId="14" fontId="1" numFmtId="0" xfId="0" applyBorder="1" applyFont="1"/>
    <xf borderId="3" fillId="0" fontId="1" numFmtId="0" xfId="0" applyAlignment="1" applyBorder="1" applyFont="1">
      <alignment shrinkToFit="0" wrapText="1"/>
    </xf>
    <xf borderId="1" fillId="10" fontId="1" numFmtId="168" xfId="0" applyBorder="1" applyFont="1" applyNumberFormat="1"/>
    <xf borderId="0" fillId="0" fontId="17" numFmtId="0" xfId="0" applyAlignment="1" applyFont="1">
      <alignment shrinkToFit="0" wrapText="1"/>
    </xf>
    <xf borderId="0" fillId="0" fontId="1" numFmtId="169" xfId="0" applyFont="1" applyNumberFormat="1"/>
    <xf borderId="1" fillId="4" fontId="3" numFmtId="165" xfId="0" applyAlignment="1" applyBorder="1" applyFont="1" applyNumberFormat="1">
      <alignment horizontal="center" vertical="center"/>
    </xf>
    <xf borderId="1" fillId="4" fontId="1" numFmtId="165" xfId="0" applyAlignment="1" applyBorder="1" applyFont="1" applyNumberFormat="1">
      <alignment horizontal="center" vertical="center"/>
    </xf>
    <xf borderId="1" fillId="4" fontId="13" numFmtId="165" xfId="0" applyAlignment="1" applyBorder="1" applyFont="1" applyNumberFormat="1">
      <alignment horizontal="center"/>
    </xf>
    <xf borderId="0" fillId="0" fontId="17" numFmtId="0" xfId="0" applyAlignment="1" applyFont="1">
      <alignment horizontal="left" shrinkToFit="0" vertical="center" wrapText="1"/>
    </xf>
    <xf borderId="1" fillId="4" fontId="18" numFmtId="165" xfId="0" applyAlignment="1" applyBorder="1" applyFont="1" applyNumberFormat="1">
      <alignment horizontal="center"/>
    </xf>
    <xf borderId="0" fillId="0" fontId="17" numFmtId="0" xfId="0" applyAlignment="1" applyFont="1">
      <alignment horizontal="center" shrinkToFit="0" vertical="center" wrapText="1"/>
    </xf>
    <xf borderId="1" fillId="4" fontId="17" numFmtId="0" xfId="0" applyAlignment="1" applyBorder="1" applyFont="1">
      <alignment horizontal="left" vertical="center"/>
    </xf>
    <xf borderId="1" fillId="4" fontId="17" numFmtId="0" xfId="0" applyBorder="1" applyFont="1"/>
    <xf borderId="0" fillId="0" fontId="17" numFmtId="0" xfId="0" applyFont="1"/>
    <xf borderId="1" fillId="4" fontId="14" numFmtId="165" xfId="0" applyAlignment="1" applyBorder="1" applyFont="1" applyNumberFormat="1">
      <alignment horizontal="center"/>
    </xf>
    <xf borderId="1" fillId="4" fontId="14" numFmtId="0" xfId="0" applyAlignment="1" applyBorder="1" applyFont="1">
      <alignment horizontal="center"/>
    </xf>
    <xf borderId="1" fillId="4" fontId="19" numFmtId="165" xfId="0" applyAlignment="1" applyBorder="1" applyFont="1" applyNumberFormat="1">
      <alignment horizontal="center"/>
    </xf>
    <xf borderId="1" fillId="4" fontId="19" numFmtId="0" xfId="0" applyAlignment="1" applyBorder="1" applyFont="1">
      <alignment horizontal="center"/>
    </xf>
    <xf borderId="1" fillId="4" fontId="2" numFmtId="49" xfId="0" applyAlignment="1" applyBorder="1" applyFont="1" applyNumberFormat="1">
      <alignment horizontal="left" vertical="center"/>
    </xf>
    <xf borderId="1" fillId="4" fontId="20" numFmtId="165" xfId="0" applyAlignment="1" applyBorder="1" applyFont="1" applyNumberFormat="1">
      <alignment horizontal="center"/>
    </xf>
    <xf borderId="1" fillId="4" fontId="21" numFmtId="165" xfId="0" applyAlignment="1" applyBorder="1" applyFont="1" applyNumberFormat="1">
      <alignment horizontal="center"/>
    </xf>
    <xf borderId="1" fillId="20" fontId="1" numFmtId="0" xfId="0" applyAlignment="1" applyBorder="1" applyFill="1" applyFont="1">
      <alignment shrinkToFit="0" wrapText="1"/>
    </xf>
    <xf borderId="1" fillId="21" fontId="1" numFmtId="0" xfId="0" applyAlignment="1" applyBorder="1" applyFill="1" applyFont="1">
      <alignment shrinkToFit="0" wrapText="1"/>
    </xf>
    <xf borderId="0" fillId="0" fontId="1" numFmtId="0" xfId="0" applyAlignment="1" applyFont="1">
      <alignment horizontal="right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4" fontId="22" numFmtId="0" xfId="0" applyBorder="1" applyFont="1"/>
    <xf borderId="0" fillId="0" fontId="22" numFmtId="0" xfId="0" applyFont="1"/>
    <xf borderId="1" fillId="4" fontId="23" numFmtId="165" xfId="0" applyAlignment="1" applyBorder="1" applyFont="1" applyNumberFormat="1">
      <alignment horizontal="center"/>
    </xf>
    <xf borderId="1" fillId="4" fontId="23" numFmtId="0" xfId="0" applyAlignment="1" applyBorder="1" applyFont="1">
      <alignment horizontal="center"/>
    </xf>
    <xf borderId="1" fillId="4" fontId="24" numFmtId="49" xfId="0" applyAlignment="1" applyBorder="1" applyFont="1" applyNumberFormat="1">
      <alignment horizontal="left" vertical="center"/>
    </xf>
    <xf borderId="1" fillId="4" fontId="9" numFmtId="0" xfId="0" applyBorder="1" applyFont="1"/>
    <xf borderId="1" fillId="4" fontId="25" numFmtId="0" xfId="0" applyBorder="1" applyFont="1"/>
    <xf borderId="1" fillId="4" fontId="26" numFmtId="0" xfId="0" applyBorder="1" applyFont="1"/>
    <xf borderId="1" fillId="14" fontId="27" numFmtId="0" xfId="0" applyAlignment="1" applyBorder="1" applyFont="1">
      <alignment shrinkToFit="0" wrapText="1"/>
    </xf>
    <xf borderId="1" fillId="14" fontId="28" numFmtId="0" xfId="0" applyBorder="1" applyFont="1"/>
    <xf borderId="2" fillId="8" fontId="1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wrapText="1"/>
    </xf>
    <xf borderId="1" fillId="4" fontId="13" numFmtId="0" xfId="0" applyAlignment="1" applyBorder="1" applyFont="1">
      <alignment horizontal="center" shrinkToFit="0" wrapText="1"/>
    </xf>
    <xf borderId="1" fillId="4" fontId="29" numFmtId="165" xfId="0" applyAlignment="1" applyBorder="1" applyFont="1" applyNumberFormat="1">
      <alignment horizontal="center"/>
    </xf>
    <xf borderId="1" fillId="4" fontId="23" numFmtId="0" xfId="0" applyAlignment="1" applyBorder="1" applyFont="1">
      <alignment horizontal="center" shrinkToFit="0" wrapText="1"/>
    </xf>
    <xf borderId="1" fillId="4" fontId="24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center" shrinkToFit="0" wrapText="1"/>
    </xf>
    <xf borderId="4" fillId="4" fontId="21" numFmtId="165" xfId="0" applyAlignment="1" applyBorder="1" applyFont="1" applyNumberFormat="1">
      <alignment horizontal="center"/>
    </xf>
    <xf borderId="5" fillId="0" fontId="30" numFmtId="0" xfId="0" applyBorder="1" applyFont="1"/>
    <xf borderId="0" fillId="0" fontId="17" numFmtId="164" xfId="0" applyAlignment="1" applyFont="1" applyNumberFormat="1">
      <alignment horizontal="center"/>
    </xf>
    <xf borderId="6" fillId="22" fontId="31" numFmtId="0" xfId="0" applyAlignment="1" applyBorder="1" applyFill="1" applyFont="1">
      <alignment horizontal="center" readingOrder="0" vertical="center"/>
    </xf>
    <xf borderId="6" fillId="22" fontId="32" numFmtId="0" xfId="0" applyAlignment="1" applyBorder="1" applyFont="1">
      <alignment horizontal="center" readingOrder="0" vertical="center"/>
    </xf>
    <xf borderId="7" fillId="0" fontId="31" numFmtId="0" xfId="0" applyAlignment="1" applyBorder="1" applyFont="1">
      <alignment horizontal="center" readingOrder="0" vertical="center"/>
    </xf>
    <xf borderId="6" fillId="23" fontId="33" numFmtId="0" xfId="0" applyAlignment="1" applyBorder="1" applyFill="1" applyFont="1">
      <alignment horizontal="center" readingOrder="0" shrinkToFit="0" vertical="center" wrapText="1"/>
    </xf>
    <xf borderId="6" fillId="23" fontId="34" numFmtId="0" xfId="0" applyAlignment="1" applyBorder="1" applyFont="1">
      <alignment horizontal="center" readingOrder="0" vertical="center"/>
    </xf>
    <xf borderId="8" fillId="0" fontId="30" numFmtId="0" xfId="0" applyBorder="1" applyFont="1"/>
    <xf borderId="6" fillId="17" fontId="33" numFmtId="0" xfId="0" applyAlignment="1" applyBorder="1" applyFont="1">
      <alignment horizontal="center" readingOrder="0" vertical="center"/>
    </xf>
    <xf borderId="6" fillId="17" fontId="34" numFmtId="0" xfId="0" applyAlignment="1" applyBorder="1" applyFont="1">
      <alignment horizontal="center" readingOrder="0" vertical="center"/>
    </xf>
    <xf borderId="6" fillId="17" fontId="34" numFmtId="0" xfId="0" applyAlignment="1" applyBorder="1" applyFont="1">
      <alignment horizontal="center" vertical="center"/>
    </xf>
    <xf borderId="9" fillId="0" fontId="30" numFmtId="0" xfId="0" applyBorder="1" applyFont="1"/>
    <xf borderId="6" fillId="24" fontId="31" numFmtId="0" xfId="0" applyAlignment="1" applyBorder="1" applyFill="1" applyFont="1">
      <alignment horizontal="center" readingOrder="0" vertical="center"/>
    </xf>
    <xf borderId="6" fillId="24" fontId="33" numFmtId="0" xfId="0" applyAlignment="1" applyBorder="1" applyFont="1">
      <alignment horizontal="center" readingOrder="0" vertical="center"/>
    </xf>
    <xf borderId="6" fillId="24" fontId="32" numFmtId="0" xfId="0" applyAlignment="1" applyBorder="1" applyFont="1">
      <alignment horizontal="center" readingOrder="0" vertical="center"/>
    </xf>
    <xf borderId="6" fillId="25" fontId="31" numFmtId="0" xfId="0" applyAlignment="1" applyBorder="1" applyFill="1" applyFont="1">
      <alignment horizontal="center" readingOrder="0" vertical="center"/>
    </xf>
    <xf borderId="6" fillId="25" fontId="33" numFmtId="0" xfId="0" applyAlignment="1" applyBorder="1" applyFont="1">
      <alignment horizontal="center" readingOrder="0" vertical="center"/>
    </xf>
    <xf borderId="6" fillId="25" fontId="34" numFmtId="0" xfId="0" applyAlignment="1" applyBorder="1" applyFont="1">
      <alignment horizontal="center" vertical="center"/>
    </xf>
    <xf borderId="6" fillId="26" fontId="33" numFmtId="0" xfId="0" applyAlignment="1" applyBorder="1" applyFill="1" applyFont="1">
      <alignment horizontal="center" readingOrder="0" shrinkToFit="0" vertical="center" wrapText="1"/>
    </xf>
    <xf borderId="6" fillId="26" fontId="34" numFmtId="0" xfId="0" applyAlignment="1" applyBorder="1" applyFont="1">
      <alignment horizontal="center" readingOrder="0" vertical="center"/>
    </xf>
    <xf borderId="6" fillId="16" fontId="33" numFmtId="0" xfId="0" applyAlignment="1" applyBorder="1" applyFont="1">
      <alignment horizontal="center" readingOrder="0" vertical="center"/>
    </xf>
    <xf borderId="6" fillId="16" fontId="34" numFmtId="0" xfId="0" applyAlignment="1" applyBorder="1" applyFont="1">
      <alignment horizontal="center" readingOrder="0" vertical="center"/>
    </xf>
    <xf borderId="6" fillId="16" fontId="34" numFmtId="0" xfId="0" applyAlignment="1" applyBorder="1" applyFont="1">
      <alignment horizontal="center" vertical="center"/>
    </xf>
    <xf borderId="6" fillId="16" fontId="34" numFmtId="0" xfId="0" applyAlignment="1" applyBorder="1" applyFont="1">
      <alignment horizontal="center" readingOrder="0" shrinkToFit="0" vertical="center" wrapText="1"/>
    </xf>
    <xf borderId="6" fillId="24" fontId="34" numFmtId="0" xfId="0" applyAlignment="1" applyBorder="1" applyFont="1">
      <alignment horizontal="center" readingOrder="0" shrinkToFit="0" vertical="center" wrapText="1"/>
    </xf>
    <xf borderId="6" fillId="25" fontId="34" numFmtId="0" xfId="0" applyAlignment="1" applyBorder="1" applyFont="1">
      <alignment horizontal="center" readingOrder="0" shrinkToFit="0" vertical="center" wrapText="1"/>
    </xf>
    <xf borderId="6" fillId="27" fontId="33" numFmtId="0" xfId="0" applyAlignment="1" applyBorder="1" applyFill="1" applyFont="1">
      <alignment horizontal="center" readingOrder="0" shrinkToFit="0" vertical="center" wrapText="1"/>
    </xf>
    <xf borderId="6" fillId="27" fontId="34" numFmtId="0" xfId="0" applyAlignment="1" applyBorder="1" applyFont="1">
      <alignment horizontal="center" readingOrder="0" vertical="center"/>
    </xf>
    <xf borderId="6" fillId="28" fontId="34" numFmtId="0" xfId="0" applyAlignment="1" applyBorder="1" applyFill="1" applyFont="1">
      <alignment horizontal="center" readingOrder="0" shrinkToFit="0" vertical="center" wrapText="1"/>
    </xf>
    <xf borderId="6" fillId="28" fontId="34" numFmtId="0" xfId="0" applyAlignment="1" applyBorder="1" applyFont="1">
      <alignment horizontal="center" readingOrder="0" vertical="center"/>
    </xf>
    <xf borderId="6" fillId="29" fontId="33" numFmtId="0" xfId="0" applyAlignment="1" applyBorder="1" applyFill="1" applyFont="1">
      <alignment horizontal="center" readingOrder="0" shrinkToFit="0" vertical="center" wrapText="1"/>
    </xf>
    <xf borderId="6" fillId="29" fontId="34" numFmtId="0" xfId="0" applyAlignment="1" applyBorder="1" applyFont="1">
      <alignment horizontal="center" vertical="center"/>
    </xf>
    <xf borderId="6" fillId="29" fontId="34" numFmtId="0" xfId="0" applyAlignment="1" applyBorder="1" applyFont="1">
      <alignment horizontal="center" readingOrder="0" vertical="center"/>
    </xf>
    <xf borderId="6" fillId="30" fontId="35" numFmtId="0" xfId="0" applyAlignment="1" applyBorder="1" applyFill="1" applyFont="1">
      <alignment horizontal="center" readingOrder="0" shrinkToFit="0" vertical="center" wrapText="1"/>
    </xf>
    <xf borderId="6" fillId="30" fontId="34" numFmtId="0" xfId="0" applyAlignment="1" applyBorder="1" applyFont="1">
      <alignment horizontal="center" readingOrder="0" vertical="center"/>
    </xf>
    <xf borderId="6" fillId="30" fontId="34" numFmtId="0" xfId="0" applyAlignment="1" applyBorder="1" applyFont="1">
      <alignment horizontal="center" vertical="center"/>
    </xf>
    <xf borderId="6" fillId="24" fontId="33" numFmtId="0" xfId="0" applyAlignment="1" applyBorder="1" applyFont="1">
      <alignment horizontal="center" vertical="center"/>
    </xf>
    <xf borderId="6" fillId="25" fontId="31" numFmtId="0" xfId="0" applyAlignment="1" applyBorder="1" applyFont="1">
      <alignment horizontal="center" vertical="center"/>
    </xf>
    <xf borderId="6" fillId="25" fontId="33" numFmtId="0" xfId="0" applyAlignment="1" applyBorder="1" applyFont="1">
      <alignment horizontal="center" vertical="center"/>
    </xf>
    <xf borderId="6" fillId="0" fontId="34" numFmtId="0" xfId="0" applyAlignment="1" applyBorder="1" applyFont="1">
      <alignment horizontal="center" readingOrder="0" shrinkToFit="0" vertical="center" wrapText="1"/>
    </xf>
    <xf borderId="6" fillId="4" fontId="34" numFmtId="0" xfId="0" applyAlignment="1" applyBorder="1" applyFont="1">
      <alignment horizontal="center" readingOrder="0" vertical="center"/>
    </xf>
    <xf borderId="6" fillId="31" fontId="34" numFmtId="0" xfId="0" applyAlignment="1" applyBorder="1" applyFill="1" applyFont="1">
      <alignment horizontal="center" readingOrder="0" vertical="center"/>
    </xf>
    <xf borderId="6" fillId="0" fontId="33" numFmtId="0" xfId="0" applyAlignment="1" applyBorder="1" applyFont="1">
      <alignment horizontal="center" readingOrder="0" shrinkToFit="0" vertical="center" wrapText="1"/>
    </xf>
    <xf borderId="6" fillId="31" fontId="34" numFmtId="0" xfId="0" applyAlignment="1" applyBorder="1" applyFont="1">
      <alignment horizontal="center" vertical="center"/>
    </xf>
    <xf borderId="6" fillId="4" fontId="34" numFmtId="0" xfId="0" applyAlignment="1" applyBorder="1" applyFont="1">
      <alignment horizontal="center" vertical="center"/>
    </xf>
    <xf borderId="6" fillId="0" fontId="36" numFmtId="0" xfId="0" applyAlignment="1" applyBorder="1" applyFont="1">
      <alignment horizontal="center" readingOrder="0" shrinkToFit="0" vertical="center" wrapText="1"/>
    </xf>
    <xf borderId="6" fillId="0" fontId="33" numFmtId="0" xfId="0" applyAlignment="1" applyBorder="1" applyFont="1">
      <alignment horizontal="center" readingOrder="0" shrinkToFit="0" vertical="center" wrapText="1"/>
    </xf>
    <xf borderId="6" fillId="24" fontId="31" numFmtId="0" xfId="0" applyAlignment="1" applyBorder="1" applyFont="1">
      <alignment horizontal="center" readingOrder="0" shrinkToFit="0" vertical="center" wrapText="1"/>
    </xf>
    <xf borderId="6" fillId="24" fontId="31" numFmtId="0" xfId="0" applyAlignment="1" applyBorder="1" applyFont="1">
      <alignment horizontal="center" readingOrder="0" shrinkToFit="0" vertical="center" wrapText="1"/>
    </xf>
    <xf borderId="6" fillId="0" fontId="31" numFmtId="0" xfId="0" applyAlignment="1" applyBorder="1" applyFont="1">
      <alignment horizontal="center" readingOrder="0" vertical="center"/>
    </xf>
    <xf borderId="6" fillId="11" fontId="31" numFmtId="0" xfId="0" applyAlignment="1" applyBorder="1" applyFont="1">
      <alignment horizontal="center" readingOrder="0" shrinkToFit="0" vertical="center" wrapText="1"/>
    </xf>
    <xf borderId="6" fillId="11" fontId="32" numFmtId="0" xfId="0" applyAlignment="1" applyBorder="1" applyFont="1">
      <alignment horizontal="center" vertical="center"/>
    </xf>
    <xf borderId="6" fillId="16" fontId="31" numFmtId="0" xfId="0" applyAlignment="1" applyBorder="1" applyFont="1">
      <alignment horizontal="center" readingOrder="0" vertical="center"/>
    </xf>
    <xf borderId="6" fillId="16" fontId="31" numFmtId="0" xfId="0" applyAlignment="1" applyBorder="1" applyFont="1">
      <alignment horizontal="center" readingOrder="0" shrinkToFit="0" vertical="center" wrapText="1"/>
    </xf>
    <xf borderId="6" fillId="16" fontId="32" numFmtId="0" xfId="0" applyAlignment="1" applyBorder="1" applyFont="1">
      <alignment horizontal="center" readingOrder="0" vertical="center"/>
    </xf>
    <xf borderId="6" fillId="22" fontId="31" numFmtId="0" xfId="0" applyAlignment="1" applyBorder="1" applyFont="1">
      <alignment horizontal="center" vertical="center"/>
    </xf>
    <xf borderId="6" fillId="22" fontId="31" numFmtId="3" xfId="0" applyAlignment="1" applyBorder="1" applyFont="1" applyNumberFormat="1">
      <alignment horizontal="center" readingOrder="0" vertical="center"/>
    </xf>
    <xf borderId="6" fillId="21" fontId="31" numFmtId="0" xfId="0" applyAlignment="1" applyBorder="1" applyFont="1">
      <alignment horizontal="center" readingOrder="0" vertical="center"/>
    </xf>
    <xf borderId="6" fillId="21" fontId="31" numFmtId="0" xfId="0" applyAlignment="1" applyBorder="1" applyFont="1">
      <alignment horizontal="center" vertical="center"/>
    </xf>
    <xf borderId="6" fillId="21" fontId="31" numFmtId="3" xfId="0" applyAlignment="1" applyBorder="1" applyFont="1" applyNumberFormat="1">
      <alignment horizontal="center" readingOrder="0" vertical="center"/>
    </xf>
    <xf borderId="6" fillId="0" fontId="31" numFmtId="0" xfId="0" applyAlignment="1" applyBorder="1" applyFont="1">
      <alignment horizontal="center" vertical="center"/>
    </xf>
    <xf borderId="6" fillId="0" fontId="32" numFmtId="0" xfId="0" applyAlignment="1" applyBorder="1" applyFont="1">
      <alignment horizontal="center" readingOrder="0" vertical="center"/>
    </xf>
    <xf borderId="6" fillId="0" fontId="32" numFmtId="170" xfId="0" applyAlignment="1" applyBorder="1" applyFont="1" applyNumberFormat="1">
      <alignment horizontal="center" readingOrder="0" vertical="center"/>
    </xf>
    <xf borderId="6" fillId="32" fontId="37" numFmtId="0" xfId="0" applyAlignment="1" applyBorder="1" applyFill="1" applyFont="1">
      <alignment horizontal="center" readingOrder="0" vertical="center"/>
    </xf>
    <xf borderId="6" fillId="32" fontId="31" numFmtId="0" xfId="0" applyAlignment="1" applyBorder="1" applyFont="1">
      <alignment horizontal="center" vertical="center"/>
    </xf>
    <xf borderId="6" fillId="32" fontId="32" numFmtId="0" xfId="0" applyAlignment="1" applyBorder="1" applyFont="1">
      <alignment horizontal="center" readingOrder="0" vertical="center"/>
    </xf>
    <xf borderId="6" fillId="0" fontId="31" numFmtId="171" xfId="0" applyAlignment="1" applyBorder="1" applyFont="1" applyNumberFormat="1">
      <alignment horizontal="center" readingOrder="0" vertical="center"/>
    </xf>
    <xf borderId="6" fillId="0" fontId="31" numFmtId="171" xfId="0" applyAlignment="1" applyBorder="1" applyFont="1" applyNumberFormat="1">
      <alignment horizontal="center" vertical="center"/>
    </xf>
    <xf borderId="6" fillId="0" fontId="32" numFmtId="0" xfId="0" applyAlignment="1" applyBorder="1" applyFont="1">
      <alignment horizontal="center" vertical="center"/>
    </xf>
    <xf borderId="0" fillId="0" fontId="31" numFmtId="0" xfId="0" applyAlignment="1" applyFont="1">
      <alignment horizontal="center" readingOrder="0" vertical="center"/>
    </xf>
    <xf borderId="6" fillId="0" fontId="32" numFmtId="171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4" fontId="38" numFmtId="0" xfId="0" applyAlignment="1" applyFont="1">
      <alignment horizontal="right" readingOrder="0" vertical="top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Расходы-style">
      <tableStyleElement dxfId="2" type="firstRowStripe"/>
      <tableStyleElement dxfId="3" type="secondRowStripe"/>
    </tableStyle>
    <tableStyle count="2" pivot="0" name="Расходы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1" displayName="Table_1" name="Table_1" id="1">
  <tableColumns count="1">
    <tableColumn name="Column1" id="1"/>
  </tableColumns>
  <tableStyleInfo name="Расходы-style" showColumnStripes="0" showFirstColumn="1" showLastColumn="1" showRowStripes="1"/>
</table>
</file>

<file path=xl/tables/table2.xml><?xml version="1.0" encoding="utf-8"?>
<table xmlns="http://schemas.openxmlformats.org/spreadsheetml/2006/main" headerRowCount="0" ref="B25:D36" displayName="Table_2" name="Table_2" id="2">
  <tableColumns count="3">
    <tableColumn name="Column1" id="1"/>
    <tableColumn name="Column2" id="2"/>
    <tableColumn name="Column3" id="3"/>
  </tableColumns>
  <tableStyleInfo name="Расходы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ltyk.ru/shkola-seo/vneshnyaya-optimizacziya-sajta/dobavlyaem-kompaniyu-v-spravochniki" TargetMode="External"/><Relationship Id="rId2" Type="http://schemas.openxmlformats.org/officeDocument/2006/relationships/hyperlink" Target="http://shans-group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h-ent.ru/" TargetMode="External"/><Relationship Id="rId2" Type="http://schemas.openxmlformats.org/officeDocument/2006/relationships/hyperlink" Target="https://soltyk.ru/shkola-seo/vneshnyaya-optimizacziya-sajta/dobavlyaem-kompaniyu-v-spravochniki" TargetMode="External"/><Relationship Id="rId3" Type="http://schemas.openxmlformats.org/officeDocument/2006/relationships/hyperlink" Target="https://docs.google.com/spreadsheets/d/1edvSwPuz8OnKYzep_jXu0mMicxavc-L2PW-3VlTNNuU/edit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oltyk.ru/shkola-seo/vneshnyaya-optimizacziya-sajta/dobavlyaem-kompaniyu-v-spravochniki" TargetMode="External"/><Relationship Id="rId2" Type="http://schemas.openxmlformats.org/officeDocument/2006/relationships/hyperlink" Target="http://shans-group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oltyk.ru/shkola-seo/vneshnyaya-optimizacziya-sajta/dobavlyaem-kompaniyu-v-spravochniki" TargetMode="External"/><Relationship Id="rId2" Type="http://schemas.openxmlformats.org/officeDocument/2006/relationships/hyperlink" Target="https://docs.google.com/spreadsheets/d/1edvSwPuz8OnKYzep_jXu0mMicxavc-L2PW-3VlTNNuU/edit?usp=shar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adi.sk/d/-yEq0zi7PIjCB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grotrend.ru/" TargetMode="External"/><Relationship Id="rId2" Type="http://schemas.openxmlformats.org/officeDocument/2006/relationships/hyperlink" Target="https://agrotrend.ru/add-company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vc.ru/" TargetMode="External"/><Relationship Id="rId2" Type="http://schemas.openxmlformats.org/officeDocument/2006/relationships/hyperlink" Target="http://taplike.ru/" TargetMode="External"/><Relationship Id="rId3" Type="http://schemas.openxmlformats.org/officeDocument/2006/relationships/drawing" Target="../drawings/drawing10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25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4"/>
      <c r="C2" s="5"/>
      <c r="D2" s="4"/>
    </row>
    <row r="3" ht="15.75" customHeight="1">
      <c r="A3" s="6" t="s">
        <v>5</v>
      </c>
      <c r="B3" s="7"/>
      <c r="C3" s="6" t="s">
        <v>6</v>
      </c>
    </row>
    <row r="4" ht="15.75" customHeight="1">
      <c r="A4" s="8" t="s">
        <v>7</v>
      </c>
      <c r="B4" s="7"/>
      <c r="C4" s="9" t="s">
        <v>8</v>
      </c>
    </row>
    <row r="5" ht="15.75" customHeight="1">
      <c r="A5" s="10" t="s">
        <v>9</v>
      </c>
      <c r="B5" s="11"/>
      <c r="C5" s="12"/>
      <c r="D5" s="4"/>
    </row>
    <row r="6" ht="15.75" customHeight="1">
      <c r="A6" s="13" t="s">
        <v>10</v>
      </c>
      <c r="B6" s="7" t="s">
        <v>11</v>
      </c>
      <c r="C6" s="9" t="s">
        <v>8</v>
      </c>
    </row>
    <row r="7" ht="15.75" customHeight="1">
      <c r="A7" s="13" t="s">
        <v>12</v>
      </c>
      <c r="B7" s="7" t="s">
        <v>11</v>
      </c>
      <c r="C7" s="9" t="s">
        <v>8</v>
      </c>
    </row>
    <row r="8" ht="15.75" customHeight="1">
      <c r="A8" s="13" t="s">
        <v>13</v>
      </c>
      <c r="B8" s="7" t="s">
        <v>14</v>
      </c>
      <c r="C8" s="9" t="s">
        <v>8</v>
      </c>
    </row>
    <row r="9" ht="15.75" customHeight="1">
      <c r="A9" s="14" t="s">
        <v>15</v>
      </c>
      <c r="B9" s="15" t="s">
        <v>16</v>
      </c>
      <c r="C9" s="16" t="s">
        <v>8</v>
      </c>
      <c r="D9" s="17" t="s">
        <v>17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15.75" customHeight="1">
      <c r="A10" s="19" t="s">
        <v>18</v>
      </c>
      <c r="B10" s="7" t="s">
        <v>16</v>
      </c>
      <c r="C10" s="9" t="s">
        <v>8</v>
      </c>
      <c r="D10" s="6" t="s">
        <v>19</v>
      </c>
    </row>
    <row r="11" ht="15.75" customHeight="1">
      <c r="A11" s="19" t="s">
        <v>20</v>
      </c>
      <c r="B11" s="7" t="s">
        <v>16</v>
      </c>
      <c r="C11" s="9" t="s">
        <v>8</v>
      </c>
      <c r="D11" s="6" t="s">
        <v>21</v>
      </c>
    </row>
    <row r="12" ht="15.75" customHeight="1">
      <c r="A12" s="20" t="s">
        <v>22</v>
      </c>
      <c r="B12" s="21">
        <v>44193.0</v>
      </c>
      <c r="C12" s="16" t="s">
        <v>23</v>
      </c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15.75" customHeight="1">
      <c r="A13" s="20" t="s">
        <v>24</v>
      </c>
      <c r="B13" s="22" t="s">
        <v>25</v>
      </c>
      <c r="C13" s="16" t="s">
        <v>23</v>
      </c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15.75" customHeight="1">
      <c r="A14" s="23" t="s">
        <v>26</v>
      </c>
      <c r="B14" s="22" t="s">
        <v>25</v>
      </c>
      <c r="C14" s="16" t="s">
        <v>23</v>
      </c>
      <c r="D14" s="2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15.75" customHeight="1">
      <c r="A15" s="13" t="s">
        <v>27</v>
      </c>
      <c r="B15" s="7" t="s">
        <v>25</v>
      </c>
      <c r="C15" s="9" t="s">
        <v>8</v>
      </c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15.75" customHeight="1">
      <c r="A16" s="25" t="s">
        <v>28</v>
      </c>
      <c r="B16" s="15" t="s">
        <v>29</v>
      </c>
      <c r="C16" s="16" t="s">
        <v>8</v>
      </c>
      <c r="D16" s="24" t="s">
        <v>30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15.75" customHeight="1">
      <c r="A17" s="13" t="s">
        <v>31</v>
      </c>
      <c r="B17" s="26"/>
      <c r="C17" s="9" t="s">
        <v>8</v>
      </c>
      <c r="D17" s="27"/>
    </row>
    <row r="18" ht="15.75" customHeight="1">
      <c r="A18" s="28" t="s">
        <v>32</v>
      </c>
      <c r="B18" s="29"/>
      <c r="C18" s="16" t="s">
        <v>8</v>
      </c>
      <c r="D18" s="18" t="s">
        <v>33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customHeight="1">
      <c r="A19" s="13" t="s">
        <v>34</v>
      </c>
      <c r="B19" s="15"/>
      <c r="C19" s="16" t="s">
        <v>8</v>
      </c>
      <c r="D19" s="6" t="s">
        <v>35</v>
      </c>
    </row>
    <row r="20" ht="15.75" customHeight="1">
      <c r="A20" s="25" t="s">
        <v>36</v>
      </c>
      <c r="B20" s="29"/>
      <c r="C20" s="16" t="s">
        <v>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30" t="s">
        <v>37</v>
      </c>
      <c r="B21" s="29"/>
      <c r="C21" s="16" t="s">
        <v>8</v>
      </c>
      <c r="D21" s="31" t="s">
        <v>38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3" t="s">
        <v>39</v>
      </c>
      <c r="B22" s="4"/>
      <c r="C22" s="5"/>
      <c r="D22" s="4"/>
    </row>
    <row r="23" ht="15.75" customHeight="1">
      <c r="A23" s="32" t="s">
        <v>40</v>
      </c>
      <c r="B23" s="29">
        <v>44196.0</v>
      </c>
      <c r="C23" s="16" t="s">
        <v>8</v>
      </c>
      <c r="D23" s="33" t="s">
        <v>41</v>
      </c>
      <c r="E23" s="27"/>
    </row>
    <row r="24" ht="15.75" customHeight="1">
      <c r="A24" s="34" t="s">
        <v>42</v>
      </c>
      <c r="B24" s="29">
        <v>44196.0</v>
      </c>
      <c r="C24" s="16" t="s">
        <v>8</v>
      </c>
      <c r="D24" s="35" t="s">
        <v>43</v>
      </c>
      <c r="E24" s="27"/>
    </row>
    <row r="25" ht="15.75" customHeight="1">
      <c r="A25" s="32" t="s">
        <v>44</v>
      </c>
      <c r="B25" s="15"/>
      <c r="C25" s="36"/>
      <c r="D25" s="37" t="s">
        <v>45</v>
      </c>
      <c r="E25" s="27"/>
    </row>
    <row r="26" ht="15.75" customHeight="1">
      <c r="A26" s="38" t="s">
        <v>46</v>
      </c>
      <c r="B26" s="39"/>
      <c r="C26" s="40" t="s">
        <v>8</v>
      </c>
      <c r="D26" s="41" t="s">
        <v>47</v>
      </c>
      <c r="E26" s="42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5.75" customHeight="1">
      <c r="A27" s="35" t="s">
        <v>48</v>
      </c>
      <c r="B27" s="44">
        <v>44196.0</v>
      </c>
      <c r="C27" s="36"/>
      <c r="D27" s="45" t="s">
        <v>49</v>
      </c>
      <c r="E27" s="27"/>
    </row>
    <row r="28" ht="15.75" customHeight="1">
      <c r="A28" s="46" t="s">
        <v>50</v>
      </c>
      <c r="B28" s="47">
        <v>44196.0</v>
      </c>
      <c r="C28" s="48" t="s">
        <v>51</v>
      </c>
      <c r="D28" s="49" t="s">
        <v>52</v>
      </c>
      <c r="E28" s="27"/>
    </row>
    <row r="29" ht="15.75" customHeight="1">
      <c r="A29" s="46" t="s">
        <v>53</v>
      </c>
      <c r="B29" s="47">
        <v>44196.0</v>
      </c>
      <c r="C29" s="48" t="s">
        <v>8</v>
      </c>
      <c r="D29" s="49" t="s">
        <v>54</v>
      </c>
      <c r="E29" s="27"/>
    </row>
    <row r="30" ht="15.75" customHeight="1">
      <c r="A30" s="35" t="s">
        <v>55</v>
      </c>
      <c r="B30" s="44">
        <v>44196.0</v>
      </c>
      <c r="C30" s="36"/>
      <c r="D30" s="45" t="s">
        <v>56</v>
      </c>
      <c r="E30" s="27"/>
    </row>
    <row r="31" ht="15.75" customHeight="1">
      <c r="A31" s="35" t="s">
        <v>57</v>
      </c>
      <c r="B31" s="44">
        <v>44196.0</v>
      </c>
      <c r="C31" s="36"/>
      <c r="D31" s="45" t="s">
        <v>58</v>
      </c>
      <c r="E31" s="27"/>
    </row>
    <row r="32" ht="15.75" customHeight="1">
      <c r="A32" s="35" t="s">
        <v>59</v>
      </c>
      <c r="B32" s="44">
        <v>44196.0</v>
      </c>
      <c r="C32" s="36"/>
      <c r="D32" s="45" t="s">
        <v>60</v>
      </c>
      <c r="E32" s="27"/>
    </row>
    <row r="33" ht="15.75" customHeight="1">
      <c r="A33" s="35" t="s">
        <v>61</v>
      </c>
      <c r="B33" s="44">
        <v>44190.0</v>
      </c>
      <c r="D33" s="45" t="s">
        <v>62</v>
      </c>
      <c r="E33" s="27"/>
    </row>
    <row r="34" ht="15.75" customHeight="1">
      <c r="A34" s="50" t="s">
        <v>63</v>
      </c>
      <c r="B34" s="51">
        <v>44196.0</v>
      </c>
      <c r="C34" s="40" t="s">
        <v>8</v>
      </c>
      <c r="D34" s="52" t="s">
        <v>64</v>
      </c>
      <c r="E34" s="4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5.75" customHeight="1">
      <c r="A35" s="53" t="s">
        <v>65</v>
      </c>
      <c r="B35" s="51">
        <v>44196.0</v>
      </c>
      <c r="C35" s="40"/>
      <c r="D35" s="52" t="s">
        <v>66</v>
      </c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5.75" customHeight="1">
      <c r="A36" s="35" t="s">
        <v>67</v>
      </c>
      <c r="B36" s="44">
        <v>44196.0</v>
      </c>
      <c r="C36" s="36" t="s">
        <v>8</v>
      </c>
      <c r="D36" s="45"/>
      <c r="E36" s="27"/>
    </row>
    <row r="37" ht="15.75" customHeight="1">
      <c r="A37" s="50" t="s">
        <v>68</v>
      </c>
      <c r="B37" s="51">
        <v>44196.0</v>
      </c>
      <c r="C37" s="40" t="s">
        <v>8</v>
      </c>
      <c r="D37" s="52" t="s">
        <v>69</v>
      </c>
      <c r="E37" s="42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5.75" customHeight="1">
      <c r="A38" s="35" t="s">
        <v>70</v>
      </c>
      <c r="B38" s="44">
        <v>44196.0</v>
      </c>
      <c r="C38" s="36"/>
      <c r="D38" s="45" t="s">
        <v>71</v>
      </c>
      <c r="E38" s="27"/>
    </row>
    <row r="39" ht="15.75" customHeight="1">
      <c r="A39" s="53" t="s">
        <v>72</v>
      </c>
      <c r="B39" s="51">
        <v>44196.0</v>
      </c>
      <c r="C39" s="40" t="s">
        <v>8</v>
      </c>
      <c r="D39" s="52" t="s">
        <v>73</v>
      </c>
      <c r="E39" s="42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5.75" customHeight="1">
      <c r="A40" s="53" t="s">
        <v>74</v>
      </c>
      <c r="B40" s="51">
        <v>44195.0</v>
      </c>
      <c r="C40" s="40" t="s">
        <v>75</v>
      </c>
      <c r="D40" s="52" t="s">
        <v>76</v>
      </c>
      <c r="E40" s="42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5.75" customHeight="1">
      <c r="A41" s="35" t="s">
        <v>77</v>
      </c>
      <c r="B41" s="44">
        <v>44196.0</v>
      </c>
      <c r="C41" s="36"/>
      <c r="D41" s="45" t="s">
        <v>78</v>
      </c>
      <c r="E41" s="27"/>
    </row>
    <row r="42" ht="15.75" customHeight="1">
      <c r="A42" s="35" t="s">
        <v>79</v>
      </c>
      <c r="B42" s="44"/>
      <c r="C42" s="36"/>
      <c r="D42" s="45"/>
      <c r="E42" s="27"/>
    </row>
    <row r="43" ht="15.75" customHeight="1">
      <c r="A43" s="3" t="s">
        <v>80</v>
      </c>
      <c r="B43" s="54"/>
      <c r="C43" s="55"/>
      <c r="D43" s="4"/>
    </row>
    <row r="44" ht="15.75" customHeight="1">
      <c r="A44" s="19" t="s">
        <v>81</v>
      </c>
      <c r="B44" s="56">
        <v>44195.0</v>
      </c>
      <c r="C44" s="19" t="s">
        <v>8</v>
      </c>
      <c r="D44" s="6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5.75" customHeight="1">
      <c r="A45" s="3" t="s">
        <v>82</v>
      </c>
      <c r="B45" s="4"/>
      <c r="C45" s="5"/>
      <c r="D45" s="4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ht="16.5" customHeight="1">
      <c r="A46" s="19" t="s">
        <v>83</v>
      </c>
      <c r="B46" s="58">
        <v>44196.0</v>
      </c>
      <c r="C46" s="19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6.5" customHeight="1">
      <c r="A47" s="19" t="s">
        <v>84</v>
      </c>
      <c r="B47" s="58">
        <v>44196.0</v>
      </c>
      <c r="C47" s="19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t="16.5" customHeight="1">
      <c r="A48" s="19" t="s">
        <v>85</v>
      </c>
      <c r="B48" s="58">
        <v>44196.0</v>
      </c>
      <c r="C48" s="19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6.5" customHeight="1">
      <c r="A49" s="19" t="s">
        <v>86</v>
      </c>
      <c r="B49" s="58">
        <v>44193.0</v>
      </c>
      <c r="C49" s="19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6.5" customHeight="1">
      <c r="A50" s="3" t="s">
        <v>87</v>
      </c>
      <c r="B50" s="4"/>
      <c r="C50" s="55" t="s">
        <v>23</v>
      </c>
      <c r="D50" s="4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t="15.75" customHeight="1">
      <c r="A51" s="19" t="s">
        <v>88</v>
      </c>
      <c r="B51" s="59">
        <v>44166.0</v>
      </c>
      <c r="C51" s="13" t="s">
        <v>89</v>
      </c>
      <c r="D51" s="27" t="s">
        <v>90</v>
      </c>
    </row>
    <row r="52" ht="15.75" customHeight="1">
      <c r="A52" s="19" t="s">
        <v>91</v>
      </c>
      <c r="B52" s="60">
        <v>44188.0</v>
      </c>
      <c r="C52" s="13" t="s">
        <v>8</v>
      </c>
      <c r="D52" s="27" t="s">
        <v>92</v>
      </c>
    </row>
    <row r="53" ht="15.75" customHeight="1">
      <c r="A53" s="19" t="s">
        <v>93</v>
      </c>
      <c r="B53" s="60">
        <v>44190.0</v>
      </c>
      <c r="C53" s="13" t="s">
        <v>8</v>
      </c>
      <c r="D53" s="27"/>
    </row>
    <row r="54" ht="15.75" customHeight="1">
      <c r="A54" s="6" t="s">
        <v>94</v>
      </c>
      <c r="B54" s="59">
        <v>44166.0</v>
      </c>
      <c r="C54" s="27"/>
      <c r="D54" s="27" t="s">
        <v>95</v>
      </c>
    </row>
    <row r="55" ht="15.75" customHeight="1">
      <c r="A55" s="6" t="s">
        <v>96</v>
      </c>
      <c r="B55" s="27"/>
      <c r="C55" s="27" t="s">
        <v>75</v>
      </c>
      <c r="D55" s="27"/>
    </row>
    <row r="56" ht="15.75" customHeight="1">
      <c r="A56" s="27" t="s">
        <v>97</v>
      </c>
      <c r="B56" s="59"/>
      <c r="C56" s="13"/>
      <c r="D56" s="27"/>
    </row>
    <row r="57" ht="15.75" customHeight="1">
      <c r="A57" s="10" t="s">
        <v>98</v>
      </c>
      <c r="B57" s="4"/>
      <c r="C57" s="5"/>
      <c r="D57" s="4"/>
    </row>
    <row r="58" ht="15.75" customHeight="1">
      <c r="A58" s="19" t="s">
        <v>99</v>
      </c>
      <c r="B58" s="6" t="s">
        <v>100</v>
      </c>
      <c r="C58" s="19" t="s">
        <v>8</v>
      </c>
    </row>
    <row r="59" ht="15.75" customHeight="1">
      <c r="A59" s="19" t="s">
        <v>101</v>
      </c>
      <c r="B59" s="6" t="s">
        <v>102</v>
      </c>
      <c r="C59" s="19" t="s">
        <v>8</v>
      </c>
    </row>
    <row r="60" ht="15.75" customHeight="1">
      <c r="A60" s="19" t="s">
        <v>103</v>
      </c>
      <c r="B60" s="6" t="s">
        <v>104</v>
      </c>
      <c r="C60" s="19" t="s">
        <v>8</v>
      </c>
    </row>
    <row r="61" ht="15.75" customHeight="1">
      <c r="A61" s="19" t="s">
        <v>105</v>
      </c>
      <c r="B61" s="6" t="s">
        <v>106</v>
      </c>
      <c r="C61" s="19" t="s">
        <v>8</v>
      </c>
    </row>
    <row r="62" ht="15.75" customHeight="1">
      <c r="A62" s="61" t="s">
        <v>107</v>
      </c>
      <c r="B62" s="6" t="s">
        <v>108</v>
      </c>
      <c r="C62" s="19"/>
    </row>
    <row r="63" ht="15.75" customHeight="1">
      <c r="A63" s="13" t="s">
        <v>109</v>
      </c>
      <c r="B63" s="6" t="s">
        <v>110</v>
      </c>
      <c r="C63" s="19" t="s">
        <v>8</v>
      </c>
      <c r="D63" s="6"/>
    </row>
    <row r="64" ht="15.75" customHeight="1">
      <c r="A64" s="13" t="s">
        <v>111</v>
      </c>
      <c r="B64" s="6" t="s">
        <v>112</v>
      </c>
      <c r="C64" s="19" t="s">
        <v>8</v>
      </c>
      <c r="D64" s="6"/>
    </row>
    <row r="65" ht="15.75" customHeight="1">
      <c r="A65" s="13" t="s">
        <v>113</v>
      </c>
      <c r="B65" s="6" t="s">
        <v>114</v>
      </c>
      <c r="C65" s="19" t="s">
        <v>8</v>
      </c>
      <c r="D65" s="6" t="s">
        <v>115</v>
      </c>
    </row>
    <row r="66" ht="15.75" customHeight="1">
      <c r="A66" s="13" t="s">
        <v>116</v>
      </c>
      <c r="B66" s="6"/>
      <c r="C66" s="19"/>
      <c r="D66" s="6"/>
    </row>
    <row r="67" ht="15.75" customHeight="1">
      <c r="A67" s="13" t="s">
        <v>116</v>
      </c>
      <c r="B67" s="6"/>
      <c r="C67" s="19"/>
      <c r="D67" s="6"/>
    </row>
    <row r="68" ht="15.75" customHeight="1">
      <c r="A68" s="13" t="s">
        <v>117</v>
      </c>
      <c r="B68" s="6"/>
      <c r="C68" s="19"/>
      <c r="D68" s="6"/>
    </row>
    <row r="69" ht="15.75" customHeight="1">
      <c r="A69" s="10" t="s">
        <v>118</v>
      </c>
      <c r="B69" s="62"/>
      <c r="C69" s="5"/>
      <c r="D69" s="4"/>
    </row>
    <row r="70" ht="15.75" customHeight="1">
      <c r="A70" s="63" t="s">
        <v>119</v>
      </c>
      <c r="B70" s="64">
        <v>44187.0</v>
      </c>
      <c r="C70" s="6" t="s">
        <v>120</v>
      </c>
      <c r="D70" s="65" t="s">
        <v>121</v>
      </c>
    </row>
    <row r="71" ht="15.75" customHeight="1">
      <c r="A71" s="66" t="s">
        <v>122</v>
      </c>
      <c r="B71" s="64">
        <v>44187.0</v>
      </c>
      <c r="C71" s="6" t="s">
        <v>120</v>
      </c>
    </row>
    <row r="72" ht="15.75" customHeight="1">
      <c r="A72" s="66" t="s">
        <v>123</v>
      </c>
      <c r="B72" s="64">
        <v>44187.0</v>
      </c>
      <c r="C72" s="19" t="s">
        <v>120</v>
      </c>
      <c r="D72" s="6" t="s">
        <v>124</v>
      </c>
    </row>
    <row r="73" ht="15.75" customHeight="1">
      <c r="A73" s="13" t="s">
        <v>125</v>
      </c>
      <c r="B73" s="64">
        <v>44188.0</v>
      </c>
      <c r="C73" s="6"/>
      <c r="D73" s="6"/>
    </row>
    <row r="74" ht="15.75" customHeight="1">
      <c r="A74" s="66" t="s">
        <v>126</v>
      </c>
      <c r="B74" s="64">
        <v>44189.0</v>
      </c>
      <c r="C74" s="19" t="s">
        <v>120</v>
      </c>
      <c r="D74" s="6" t="s">
        <v>127</v>
      </c>
    </row>
    <row r="75" ht="15.75" customHeight="1">
      <c r="A75" s="13" t="s">
        <v>128</v>
      </c>
      <c r="B75" s="64">
        <v>44190.0</v>
      </c>
      <c r="C75" s="19" t="s">
        <v>129</v>
      </c>
      <c r="D75" s="6" t="s">
        <v>130</v>
      </c>
    </row>
    <row r="76" ht="15.75" customHeight="1">
      <c r="A76" s="13" t="s">
        <v>131</v>
      </c>
      <c r="B76" s="64">
        <v>44190.0</v>
      </c>
      <c r="C76" s="19"/>
    </row>
    <row r="77" ht="15.75" customHeight="1">
      <c r="A77" s="13" t="s">
        <v>132</v>
      </c>
      <c r="B77" s="64">
        <v>44193.0</v>
      </c>
      <c r="D77" s="6"/>
    </row>
    <row r="78" ht="15.75" customHeight="1">
      <c r="A78" s="67" t="s">
        <v>133</v>
      </c>
      <c r="B78" s="64">
        <v>44193.0</v>
      </c>
      <c r="C78" s="19" t="s">
        <v>134</v>
      </c>
      <c r="D78" s="6"/>
    </row>
    <row r="79" ht="15.75" customHeight="1">
      <c r="A79" s="67" t="s">
        <v>135</v>
      </c>
      <c r="B79" s="64">
        <v>44207.0</v>
      </c>
      <c r="C79" s="19" t="s">
        <v>136</v>
      </c>
      <c r="D79" s="6" t="s">
        <v>137</v>
      </c>
    </row>
    <row r="80" ht="15.75" customHeight="1">
      <c r="A80" s="19" t="s">
        <v>138</v>
      </c>
      <c r="C80" s="19"/>
      <c r="D80" s="6"/>
    </row>
    <row r="81" ht="15.75" customHeight="1">
      <c r="A81" s="19" t="s">
        <v>139</v>
      </c>
      <c r="C81" s="19"/>
      <c r="D81" s="6"/>
    </row>
    <row r="82" ht="15.75" customHeight="1">
      <c r="A82" s="19" t="s">
        <v>140</v>
      </c>
      <c r="C82" s="19"/>
    </row>
    <row r="83" ht="15.75" customHeight="1">
      <c r="A83" s="19" t="s">
        <v>141</v>
      </c>
      <c r="C83" s="19"/>
    </row>
    <row r="84" ht="15.75" customHeight="1">
      <c r="A84" s="19" t="s">
        <v>142</v>
      </c>
      <c r="B84" s="6"/>
      <c r="C84" s="19"/>
    </row>
    <row r="85" ht="15.75" customHeight="1">
      <c r="A85" s="3" t="s">
        <v>143</v>
      </c>
      <c r="B85" s="4"/>
      <c r="C85" s="5"/>
      <c r="D85" s="4"/>
    </row>
    <row r="86" ht="15.75" customHeight="1">
      <c r="A86" s="19" t="s">
        <v>144</v>
      </c>
      <c r="C86" s="19" t="s">
        <v>8</v>
      </c>
    </row>
    <row r="87" ht="15.75" customHeight="1">
      <c r="A87" s="19" t="s">
        <v>145</v>
      </c>
      <c r="C87" s="19"/>
    </row>
    <row r="88" ht="15.75" customHeight="1">
      <c r="A88" s="19" t="s">
        <v>146</v>
      </c>
      <c r="C88" s="19"/>
    </row>
    <row r="89" ht="15.75" customHeight="1">
      <c r="A89" s="10" t="s">
        <v>147</v>
      </c>
      <c r="B89" s="4"/>
      <c r="C89" s="5"/>
      <c r="D89" s="4"/>
    </row>
    <row r="90" ht="15.75" customHeight="1">
      <c r="A90" s="19" t="s">
        <v>148</v>
      </c>
      <c r="B90" s="68">
        <v>44196.0</v>
      </c>
      <c r="C90" s="19" t="s">
        <v>149</v>
      </c>
      <c r="D90" s="6" t="s">
        <v>150</v>
      </c>
    </row>
    <row r="91" ht="15.75" customHeight="1">
      <c r="A91" s="19" t="s">
        <v>151</v>
      </c>
      <c r="B91" s="68">
        <v>44196.0</v>
      </c>
      <c r="C91" s="19" t="s">
        <v>152</v>
      </c>
      <c r="D91" s="6" t="s">
        <v>153</v>
      </c>
    </row>
    <row r="92" ht="15.75" customHeight="1">
      <c r="A92" s="19" t="s">
        <v>154</v>
      </c>
      <c r="B92" s="68">
        <v>44196.0</v>
      </c>
      <c r="C92" s="19" t="s">
        <v>155</v>
      </c>
    </row>
    <row r="93" ht="15.75" customHeight="1">
      <c r="A93" s="19" t="s">
        <v>156</v>
      </c>
      <c r="B93" s="68">
        <v>44196.0</v>
      </c>
      <c r="C93" s="19" t="s">
        <v>157</v>
      </c>
    </row>
    <row r="94" ht="15.75" customHeight="1">
      <c r="A94" s="19" t="s">
        <v>158</v>
      </c>
      <c r="B94" s="68">
        <v>44196.0</v>
      </c>
      <c r="C94" s="19" t="s">
        <v>152</v>
      </c>
    </row>
    <row r="95" ht="15.75" customHeight="1">
      <c r="A95" s="19" t="s">
        <v>159</v>
      </c>
      <c r="B95" s="68">
        <v>44190.0</v>
      </c>
      <c r="C95" s="19" t="s">
        <v>23</v>
      </c>
    </row>
    <row r="96" ht="15.75" customHeight="1">
      <c r="A96" s="19" t="s">
        <v>160</v>
      </c>
      <c r="B96" s="68">
        <v>44186.0</v>
      </c>
      <c r="C96" s="19" t="s">
        <v>161</v>
      </c>
    </row>
    <row r="97" ht="15.75" customHeight="1">
      <c r="A97" s="19" t="s">
        <v>162</v>
      </c>
      <c r="B97" s="68">
        <v>44196.0</v>
      </c>
      <c r="C97" s="19" t="s">
        <v>163</v>
      </c>
    </row>
    <row r="98" ht="15.75" customHeight="1">
      <c r="A98" s="19" t="s">
        <v>164</v>
      </c>
      <c r="B98" s="68">
        <v>44177.0</v>
      </c>
      <c r="C98" s="19" t="s">
        <v>163</v>
      </c>
    </row>
    <row r="99" ht="15.75" customHeight="1">
      <c r="A99" s="19" t="s">
        <v>165</v>
      </c>
      <c r="B99" s="68">
        <v>44196.0</v>
      </c>
      <c r="C99" s="19" t="s">
        <v>166</v>
      </c>
    </row>
    <row r="100" ht="15.75" customHeight="1">
      <c r="A100" s="19" t="s">
        <v>167</v>
      </c>
      <c r="B100" s="68">
        <v>44190.0</v>
      </c>
      <c r="C100" s="19" t="s">
        <v>168</v>
      </c>
    </row>
    <row r="101" ht="15.75" customHeight="1">
      <c r="A101" s="19" t="s">
        <v>169</v>
      </c>
      <c r="B101" s="68">
        <v>44196.0</v>
      </c>
      <c r="C101" s="19" t="s">
        <v>170</v>
      </c>
    </row>
    <row r="102" ht="15.75" customHeight="1">
      <c r="A102" s="19" t="s">
        <v>171</v>
      </c>
      <c r="B102" s="68">
        <v>44196.0</v>
      </c>
      <c r="C102" s="19" t="s">
        <v>23</v>
      </c>
    </row>
    <row r="103" ht="15.75" customHeight="1">
      <c r="A103" s="19"/>
      <c r="C103" s="19"/>
    </row>
    <row r="104" ht="15.75" customHeight="1">
      <c r="A104" s="19"/>
      <c r="C104" s="19"/>
    </row>
    <row r="105" ht="15.75" customHeight="1">
      <c r="A105" s="19"/>
      <c r="C105" s="19"/>
    </row>
    <row r="106" ht="15.75" customHeight="1">
      <c r="A106" s="19"/>
      <c r="C106" s="19"/>
    </row>
    <row r="107" ht="15.75" customHeight="1">
      <c r="A107" s="19"/>
      <c r="C107" s="19"/>
    </row>
    <row r="108" ht="15.75" customHeight="1">
      <c r="A108" s="19"/>
      <c r="C108" s="19"/>
    </row>
    <row r="109" ht="15.75" customHeight="1">
      <c r="A109" s="19"/>
      <c r="C109" s="19"/>
    </row>
    <row r="110" ht="15.75" customHeight="1">
      <c r="A110" s="19"/>
      <c r="C110" s="19"/>
    </row>
    <row r="111" ht="15.75" customHeight="1">
      <c r="A111" s="19"/>
      <c r="C111" s="19"/>
    </row>
    <row r="112" ht="15.75" customHeight="1">
      <c r="A112" s="19"/>
      <c r="C112" s="19"/>
    </row>
    <row r="113" ht="15.75" customHeight="1">
      <c r="A113" s="19"/>
      <c r="C113" s="19"/>
    </row>
    <row r="114" ht="15.75" customHeight="1">
      <c r="A114" s="19"/>
      <c r="C114" s="19"/>
    </row>
    <row r="115" ht="15.75" customHeight="1">
      <c r="A115" s="19"/>
      <c r="C115" s="19"/>
    </row>
    <row r="116" ht="15.75" customHeight="1">
      <c r="A116" s="19"/>
      <c r="C116" s="19"/>
    </row>
    <row r="117" ht="15.75" customHeight="1">
      <c r="A117" s="19"/>
      <c r="C117" s="19"/>
    </row>
    <row r="118" ht="15.75" customHeight="1">
      <c r="A118" s="19"/>
      <c r="C118" s="19"/>
    </row>
    <row r="119" ht="15.75" customHeight="1">
      <c r="A119" s="19"/>
      <c r="C119" s="19"/>
    </row>
    <row r="120" ht="15.75" customHeight="1">
      <c r="A120" s="19"/>
      <c r="C120" s="19"/>
    </row>
    <row r="121" ht="15.75" customHeight="1">
      <c r="A121" s="19"/>
      <c r="C121" s="19"/>
    </row>
    <row r="122" ht="15.75" customHeight="1">
      <c r="A122" s="19"/>
      <c r="C122" s="19"/>
    </row>
    <row r="123" ht="15.75" customHeight="1">
      <c r="A123" s="19"/>
      <c r="C123" s="19"/>
    </row>
    <row r="124" ht="15.75" customHeight="1">
      <c r="A124" s="19"/>
      <c r="C124" s="19"/>
    </row>
    <row r="125" ht="15.75" customHeight="1">
      <c r="A125" s="19"/>
      <c r="C125" s="19"/>
    </row>
    <row r="126" ht="15.75" customHeight="1">
      <c r="A126" s="19"/>
      <c r="C126" s="19"/>
    </row>
    <row r="127" ht="15.75" customHeight="1">
      <c r="A127" s="19"/>
      <c r="C127" s="19"/>
    </row>
    <row r="128" ht="15.75" customHeight="1">
      <c r="A128" s="19"/>
      <c r="C128" s="19"/>
    </row>
    <row r="129" ht="15.75" customHeight="1">
      <c r="A129" s="19"/>
      <c r="C129" s="19"/>
    </row>
    <row r="130" ht="15.75" customHeight="1">
      <c r="A130" s="19"/>
      <c r="C130" s="19"/>
    </row>
    <row r="131" ht="15.75" customHeight="1">
      <c r="A131" s="19"/>
      <c r="C131" s="19"/>
    </row>
    <row r="132" ht="15.75" customHeight="1">
      <c r="A132" s="19"/>
      <c r="C132" s="19"/>
    </row>
    <row r="133" ht="15.75" customHeight="1">
      <c r="A133" s="19"/>
      <c r="C133" s="19"/>
    </row>
    <row r="134" ht="15.75" customHeight="1">
      <c r="A134" s="19"/>
      <c r="C134" s="19"/>
    </row>
    <row r="135" ht="15.75" customHeight="1">
      <c r="A135" s="19"/>
      <c r="C135" s="19"/>
    </row>
    <row r="136" ht="15.75" customHeight="1">
      <c r="A136" s="19"/>
      <c r="C136" s="19"/>
    </row>
    <row r="137" ht="15.75" customHeight="1">
      <c r="A137" s="19"/>
      <c r="C137" s="19"/>
    </row>
    <row r="138" ht="15.75" customHeight="1">
      <c r="A138" s="19"/>
      <c r="C138" s="19"/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1">
    <cfRule type="notContainsBlanks" dxfId="0" priority="1">
      <formula>LEN(TRIM(A91))&gt;0</formula>
    </cfRule>
  </conditionalFormatting>
  <hyperlinks>
    <hyperlink r:id="rId1" ref="A18"/>
    <hyperlink r:id="rId2" ref="D2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25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5.75" customHeight="1">
      <c r="A2" s="3" t="s">
        <v>172</v>
      </c>
      <c r="B2" s="4"/>
      <c r="C2" s="5"/>
      <c r="D2" s="4"/>
    </row>
    <row r="3" ht="15.75" customHeight="1">
      <c r="A3" s="19" t="s">
        <v>173</v>
      </c>
      <c r="B3" s="26">
        <v>44169.0</v>
      </c>
      <c r="C3" s="9" t="s">
        <v>8</v>
      </c>
      <c r="D3" s="6" t="s">
        <v>174</v>
      </c>
    </row>
    <row r="4" ht="15.75" customHeight="1">
      <c r="A4" s="19" t="s">
        <v>175</v>
      </c>
      <c r="B4" s="26">
        <v>44168.0</v>
      </c>
      <c r="C4" s="9" t="s">
        <v>176</v>
      </c>
    </row>
    <row r="5" ht="15.75" customHeight="1">
      <c r="A5" s="6" t="s">
        <v>177</v>
      </c>
      <c r="B5" s="7" t="s">
        <v>178</v>
      </c>
      <c r="C5" s="9" t="s">
        <v>8</v>
      </c>
    </row>
    <row r="6" ht="15.75" customHeight="1">
      <c r="A6" s="6" t="s">
        <v>179</v>
      </c>
      <c r="B6" s="22"/>
      <c r="C6" s="9" t="s">
        <v>180</v>
      </c>
    </row>
    <row r="7" ht="15.75" customHeight="1">
      <c r="A7" s="6" t="s">
        <v>181</v>
      </c>
      <c r="B7" s="22"/>
      <c r="C7" s="9" t="s">
        <v>8</v>
      </c>
      <c r="D7" s="6" t="s">
        <v>182</v>
      </c>
    </row>
    <row r="8" ht="15.75" customHeight="1">
      <c r="A8" s="6" t="s">
        <v>183</v>
      </c>
      <c r="B8" s="26">
        <v>44165.0</v>
      </c>
      <c r="C8" s="9" t="s">
        <v>180</v>
      </c>
      <c r="D8" s="6"/>
    </row>
    <row r="9" ht="15.75" customHeight="1">
      <c r="A9" s="6" t="s">
        <v>184</v>
      </c>
      <c r="B9" s="26">
        <v>44165.0</v>
      </c>
      <c r="C9" s="9" t="s">
        <v>180</v>
      </c>
      <c r="D9" s="6" t="s">
        <v>185</v>
      </c>
    </row>
    <row r="10" ht="15.75" customHeight="1">
      <c r="A10" s="6" t="s">
        <v>186</v>
      </c>
      <c r="B10" s="7" t="s">
        <v>187</v>
      </c>
      <c r="C10" s="9" t="s">
        <v>180</v>
      </c>
    </row>
    <row r="11" ht="15.75" customHeight="1">
      <c r="A11" s="10" t="s">
        <v>9</v>
      </c>
      <c r="B11" s="11"/>
      <c r="C11" s="12"/>
      <c r="D11" s="4"/>
    </row>
    <row r="12" ht="15.75" customHeight="1">
      <c r="A12" s="13" t="s">
        <v>10</v>
      </c>
      <c r="B12" s="7" t="s">
        <v>11</v>
      </c>
      <c r="C12" s="9" t="s">
        <v>8</v>
      </c>
    </row>
    <row r="13" ht="15.75" customHeight="1">
      <c r="A13" s="13" t="s">
        <v>12</v>
      </c>
      <c r="B13" s="7" t="s">
        <v>11</v>
      </c>
      <c r="C13" s="9" t="s">
        <v>8</v>
      </c>
    </row>
    <row r="14" ht="15.75" customHeight="1">
      <c r="A14" s="13" t="s">
        <v>13</v>
      </c>
      <c r="B14" s="7" t="s">
        <v>14</v>
      </c>
      <c r="C14" s="9" t="s">
        <v>8</v>
      </c>
    </row>
    <row r="15" ht="15.75" customHeight="1">
      <c r="A15" s="14" t="s">
        <v>15</v>
      </c>
      <c r="B15" s="15" t="s">
        <v>16</v>
      </c>
      <c r="C15" s="16" t="s">
        <v>8</v>
      </c>
      <c r="D15" s="69" t="s">
        <v>188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15.75" customHeight="1">
      <c r="A16" s="19" t="s">
        <v>18</v>
      </c>
      <c r="B16" s="7" t="s">
        <v>16</v>
      </c>
      <c r="C16" s="9" t="s">
        <v>8</v>
      </c>
      <c r="D16" s="6" t="s">
        <v>19</v>
      </c>
    </row>
    <row r="17" ht="15.75" customHeight="1">
      <c r="A17" s="19" t="s">
        <v>20</v>
      </c>
      <c r="B17" s="7" t="s">
        <v>16</v>
      </c>
      <c r="C17" s="9" t="s">
        <v>8</v>
      </c>
      <c r="D17" s="6" t="s">
        <v>21</v>
      </c>
    </row>
    <row r="18" ht="15.75" customHeight="1">
      <c r="A18" s="13" t="s">
        <v>189</v>
      </c>
      <c r="B18" s="7" t="s">
        <v>16</v>
      </c>
      <c r="C18" s="9" t="s">
        <v>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customHeight="1">
      <c r="A19" s="70" t="s">
        <v>190</v>
      </c>
      <c r="B19" s="29">
        <v>44165.0</v>
      </c>
      <c r="C19" s="16" t="s">
        <v>23</v>
      </c>
      <c r="D19" s="6" t="s">
        <v>191</v>
      </c>
    </row>
    <row r="20" ht="15.75" customHeight="1">
      <c r="A20" s="23" t="s">
        <v>192</v>
      </c>
      <c r="B20" s="15" t="s">
        <v>193</v>
      </c>
      <c r="C20" s="9" t="s">
        <v>23</v>
      </c>
      <c r="D20" s="18" t="s">
        <v>194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23" t="s">
        <v>195</v>
      </c>
      <c r="B21" s="71">
        <v>44167.0</v>
      </c>
      <c r="C21" s="9" t="s">
        <v>23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72" t="s">
        <v>196</v>
      </c>
      <c r="B22" s="15" t="s">
        <v>197</v>
      </c>
      <c r="C22" s="16" t="s">
        <v>8</v>
      </c>
      <c r="D22" s="6" t="s">
        <v>198</v>
      </c>
    </row>
    <row r="23" ht="15.75" customHeight="1">
      <c r="A23" s="13" t="s">
        <v>34</v>
      </c>
      <c r="B23" s="15" t="s">
        <v>199</v>
      </c>
      <c r="C23" s="16" t="s">
        <v>8</v>
      </c>
      <c r="D23" s="6" t="s">
        <v>35</v>
      </c>
    </row>
    <row r="24" ht="15.75" customHeight="1">
      <c r="A24" s="25" t="s">
        <v>28</v>
      </c>
      <c r="B24" s="15" t="s">
        <v>29</v>
      </c>
      <c r="C24" s="16" t="s">
        <v>8</v>
      </c>
      <c r="D24" s="18" t="s">
        <v>200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15.75" customHeight="1">
      <c r="A25" s="72" t="s">
        <v>201</v>
      </c>
      <c r="C25" s="9" t="s">
        <v>8</v>
      </c>
      <c r="D25" s="6" t="s">
        <v>202</v>
      </c>
    </row>
    <row r="26" ht="15.75" customHeight="1">
      <c r="A26" s="72" t="s">
        <v>203</v>
      </c>
      <c r="B26" s="26"/>
      <c r="C26" s="9" t="s">
        <v>8</v>
      </c>
      <c r="D26" s="4" t="s">
        <v>204</v>
      </c>
    </row>
    <row r="27" ht="15.75" customHeight="1">
      <c r="A27" s="28" t="s">
        <v>205</v>
      </c>
      <c r="B27" s="29"/>
      <c r="C27" s="16" t="s">
        <v>8</v>
      </c>
      <c r="D27" s="18" t="s">
        <v>33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75" customHeight="1">
      <c r="A28" s="25" t="s">
        <v>36</v>
      </c>
      <c r="B28" s="29"/>
      <c r="C28" s="16" t="s">
        <v>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customHeight="1">
      <c r="A29" s="25" t="s">
        <v>206</v>
      </c>
      <c r="B29" s="29"/>
      <c r="C29" s="16" t="s">
        <v>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75" customHeight="1">
      <c r="A30" s="25" t="s">
        <v>207</v>
      </c>
      <c r="B30" s="29"/>
      <c r="C30" s="9" t="s">
        <v>23</v>
      </c>
      <c r="D30" s="18" t="s">
        <v>208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15.75" customHeight="1">
      <c r="A31" s="30" t="s">
        <v>209</v>
      </c>
      <c r="B31" s="29"/>
      <c r="C31" s="16" t="s">
        <v>8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15.75" customHeight="1">
      <c r="A32" s="3" t="s">
        <v>39</v>
      </c>
      <c r="B32" s="4"/>
      <c r="C32" s="5"/>
      <c r="D32" s="4"/>
    </row>
    <row r="33" ht="15.75" customHeight="1">
      <c r="A33" s="19" t="s">
        <v>40</v>
      </c>
      <c r="B33" s="26">
        <v>44168.0</v>
      </c>
      <c r="C33" s="9" t="s">
        <v>8</v>
      </c>
      <c r="D33" s="73" t="s">
        <v>210</v>
      </c>
    </row>
    <row r="34" ht="15.75" customHeight="1">
      <c r="A34" s="19" t="s">
        <v>211</v>
      </c>
      <c r="B34" s="26">
        <v>44166.0</v>
      </c>
      <c r="C34" s="9" t="s">
        <v>8</v>
      </c>
      <c r="D34" s="74" t="s">
        <v>212</v>
      </c>
    </row>
    <row r="35" ht="15.75" customHeight="1">
      <c r="A35" s="75" t="s">
        <v>213</v>
      </c>
      <c r="B35" s="76">
        <v>44174.0</v>
      </c>
      <c r="C35" s="77" t="s">
        <v>8</v>
      </c>
      <c r="D35" s="8" t="s">
        <v>214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78" t="s">
        <v>215</v>
      </c>
      <c r="B36" s="79">
        <v>44169.0</v>
      </c>
      <c r="C36" s="80" t="s">
        <v>23</v>
      </c>
      <c r="D36" s="81" t="s">
        <v>216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ht="15.75" customHeight="1">
      <c r="A37" s="19" t="s">
        <v>44</v>
      </c>
      <c r="B37" s="7"/>
      <c r="C37" s="82"/>
      <c r="D37" s="6" t="s">
        <v>45</v>
      </c>
    </row>
    <row r="38" ht="15.75" customHeight="1">
      <c r="A38" s="78" t="s">
        <v>217</v>
      </c>
      <c r="B38" s="79">
        <v>44172.0</v>
      </c>
      <c r="C38" s="80" t="s">
        <v>23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ht="15.75" customHeight="1">
      <c r="A39" s="78" t="s">
        <v>218</v>
      </c>
      <c r="B39" s="79">
        <v>44172.0</v>
      </c>
      <c r="C39" s="80"/>
      <c r="D39" s="81" t="s">
        <v>219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ht="15.75" customHeight="1">
      <c r="A40" s="78" t="s">
        <v>220</v>
      </c>
      <c r="B40" s="79">
        <v>44166.0</v>
      </c>
      <c r="C40" s="80" t="s">
        <v>23</v>
      </c>
      <c r="D40" s="81" t="s">
        <v>221</v>
      </c>
    </row>
    <row r="41" ht="15.75" customHeight="1">
      <c r="A41" s="75" t="s">
        <v>46</v>
      </c>
      <c r="C41" s="82" t="s">
        <v>8</v>
      </c>
      <c r="D41" s="6" t="s">
        <v>222</v>
      </c>
    </row>
    <row r="42" ht="15.75" customHeight="1">
      <c r="A42" s="13" t="s">
        <v>48</v>
      </c>
      <c r="B42" s="83">
        <v>44176.0</v>
      </c>
      <c r="C42" s="82"/>
      <c r="D42" s="27" t="s">
        <v>49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5.75" customHeight="1">
      <c r="A43" s="84" t="s">
        <v>50</v>
      </c>
      <c r="B43" s="85">
        <v>44169.0</v>
      </c>
      <c r="C43" s="86" t="s">
        <v>51</v>
      </c>
      <c r="D43" s="57" t="s">
        <v>223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ht="15.75" customHeight="1">
      <c r="A44" s="84" t="s">
        <v>224</v>
      </c>
      <c r="B44" s="85">
        <v>44176.0</v>
      </c>
      <c r="C44" s="86" t="s">
        <v>8</v>
      </c>
      <c r="D44" s="57" t="s">
        <v>225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5.75" customHeight="1">
      <c r="A45" s="84" t="s">
        <v>226</v>
      </c>
      <c r="B45" s="85">
        <v>44167.0</v>
      </c>
      <c r="C45" s="86" t="s">
        <v>227</v>
      </c>
      <c r="D45" s="57" t="s">
        <v>228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ht="15.75" customHeight="1">
      <c r="A46" s="13" t="s">
        <v>229</v>
      </c>
      <c r="B46" s="83">
        <v>44173.0</v>
      </c>
      <c r="C46" s="82"/>
      <c r="D46" s="27" t="s">
        <v>230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5.75" customHeight="1">
      <c r="A47" s="20" t="s">
        <v>231</v>
      </c>
      <c r="B47" s="87">
        <v>44169.0</v>
      </c>
      <c r="C47" s="88" t="s">
        <v>23</v>
      </c>
      <c r="D47" s="42" t="s">
        <v>232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5.75" customHeight="1">
      <c r="A48" s="13" t="s">
        <v>233</v>
      </c>
      <c r="B48" s="83">
        <v>44174.0</v>
      </c>
      <c r="C48" s="82" t="s">
        <v>51</v>
      </c>
      <c r="D48" s="27" t="s">
        <v>234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5.75" customHeight="1">
      <c r="A49" s="3" t="s">
        <v>80</v>
      </c>
      <c r="B49" s="54"/>
      <c r="C49" s="55"/>
      <c r="D49" s="4"/>
    </row>
    <row r="50" ht="15.75" customHeight="1">
      <c r="A50" s="19" t="s">
        <v>235</v>
      </c>
      <c r="B50" s="56">
        <v>44169.0</v>
      </c>
      <c r="C50" s="89" t="s">
        <v>75</v>
      </c>
    </row>
    <row r="51" ht="15.75" customHeight="1">
      <c r="A51" s="19" t="s">
        <v>236</v>
      </c>
      <c r="B51" s="64">
        <v>44195.0</v>
      </c>
      <c r="C51" s="19" t="s">
        <v>8</v>
      </c>
    </row>
    <row r="52" ht="15.75" customHeight="1">
      <c r="A52" s="19" t="s">
        <v>237</v>
      </c>
      <c r="B52" s="56">
        <v>44172.0</v>
      </c>
      <c r="C52" s="89" t="s">
        <v>75</v>
      </c>
      <c r="D52" s="6" t="s">
        <v>238</v>
      </c>
    </row>
    <row r="53" ht="15.75" customHeight="1">
      <c r="A53" s="19" t="s">
        <v>239</v>
      </c>
      <c r="B53" s="56">
        <v>44169.0</v>
      </c>
      <c r="C53" s="89" t="s">
        <v>75</v>
      </c>
    </row>
    <row r="54" ht="15.75" customHeight="1">
      <c r="A54" s="3" t="s">
        <v>82</v>
      </c>
      <c r="B54" s="4"/>
      <c r="C54" s="5"/>
      <c r="D54" s="4"/>
    </row>
    <row r="55" ht="15.75" customHeight="1">
      <c r="A55" s="19" t="s">
        <v>83</v>
      </c>
      <c r="B55" s="90" t="s">
        <v>240</v>
      </c>
      <c r="C55" s="19" t="s">
        <v>8</v>
      </c>
      <c r="D55" s="27"/>
    </row>
    <row r="56" ht="15.75" customHeight="1">
      <c r="A56" s="89" t="s">
        <v>241</v>
      </c>
      <c r="B56" s="91">
        <v>44165.0</v>
      </c>
      <c r="C56" s="19" t="s">
        <v>75</v>
      </c>
      <c r="D56" s="6"/>
    </row>
    <row r="57" ht="15.75" customHeight="1">
      <c r="A57" s="19" t="s">
        <v>242</v>
      </c>
      <c r="B57" s="90" t="s">
        <v>240</v>
      </c>
      <c r="C57" s="19" t="s">
        <v>8</v>
      </c>
      <c r="D57" s="6" t="s">
        <v>243</v>
      </c>
    </row>
    <row r="58" ht="15.75" customHeight="1">
      <c r="A58" s="19" t="s">
        <v>244</v>
      </c>
      <c r="B58" s="91">
        <v>44168.0</v>
      </c>
      <c r="C58" s="19" t="s">
        <v>8</v>
      </c>
      <c r="D58" s="6"/>
    </row>
    <row r="59" ht="15.75" customHeight="1">
      <c r="A59" s="89" t="s">
        <v>245</v>
      </c>
      <c r="B59" s="92">
        <v>44168.0</v>
      </c>
      <c r="C59" s="19" t="s">
        <v>8</v>
      </c>
      <c r="D59" s="6"/>
    </row>
    <row r="60" ht="15.75" customHeight="1">
      <c r="A60" s="19" t="s">
        <v>246</v>
      </c>
      <c r="B60" s="90" t="s">
        <v>240</v>
      </c>
      <c r="C60" s="19" t="s">
        <v>75</v>
      </c>
      <c r="D60" s="6" t="s">
        <v>247</v>
      </c>
    </row>
    <row r="61" ht="15.75" customHeight="1">
      <c r="A61" s="19" t="s">
        <v>248</v>
      </c>
      <c r="B61" s="92">
        <v>44169.0</v>
      </c>
      <c r="C61" s="19" t="s">
        <v>8</v>
      </c>
      <c r="D61" s="6" t="s">
        <v>249</v>
      </c>
    </row>
    <row r="62" ht="15.75" customHeight="1">
      <c r="A62" s="19" t="s">
        <v>250</v>
      </c>
      <c r="B62" s="90" t="s">
        <v>251</v>
      </c>
      <c r="C62" s="19" t="s">
        <v>8</v>
      </c>
      <c r="D62" s="6"/>
    </row>
    <row r="63" ht="15.75" customHeight="1">
      <c r="A63" s="3" t="s">
        <v>87</v>
      </c>
      <c r="B63" s="4"/>
      <c r="C63" s="55" t="s">
        <v>23</v>
      </c>
      <c r="D63" s="4"/>
    </row>
    <row r="64" ht="15.75" customHeight="1">
      <c r="A64" s="19" t="s">
        <v>252</v>
      </c>
      <c r="B64" s="6" t="s">
        <v>253</v>
      </c>
      <c r="C64" s="89" t="s">
        <v>75</v>
      </c>
      <c r="D64" s="74" t="s">
        <v>90</v>
      </c>
    </row>
    <row r="65" ht="15.75" customHeight="1">
      <c r="A65" s="19" t="s">
        <v>91</v>
      </c>
      <c r="B65" s="74" t="s">
        <v>254</v>
      </c>
      <c r="C65" s="93" t="s">
        <v>8</v>
      </c>
    </row>
    <row r="66" ht="15.75" customHeight="1">
      <c r="A66" s="19" t="s">
        <v>255</v>
      </c>
      <c r="B66" s="6" t="s">
        <v>256</v>
      </c>
      <c r="C66" s="19" t="s">
        <v>8</v>
      </c>
    </row>
    <row r="67" ht="15.75" customHeight="1">
      <c r="A67" s="19" t="s">
        <v>93</v>
      </c>
      <c r="B67" s="6" t="s">
        <v>257</v>
      </c>
      <c r="C67" s="93" t="s">
        <v>8</v>
      </c>
    </row>
    <row r="68" ht="15.75" customHeight="1">
      <c r="A68" s="94" t="s">
        <v>258</v>
      </c>
      <c r="C68" s="89" t="s">
        <v>75</v>
      </c>
    </row>
    <row r="69" ht="15.75" customHeight="1">
      <c r="A69" s="19" t="s">
        <v>259</v>
      </c>
      <c r="C69" s="89" t="s">
        <v>75</v>
      </c>
    </row>
    <row r="70" ht="15.75" customHeight="1">
      <c r="A70" s="19" t="s">
        <v>260</v>
      </c>
      <c r="C70" s="89" t="s">
        <v>75</v>
      </c>
    </row>
    <row r="71" ht="15.75" customHeight="1">
      <c r="A71" s="10" t="s">
        <v>98</v>
      </c>
      <c r="B71" s="4"/>
      <c r="C71" s="5"/>
      <c r="D71" s="4"/>
    </row>
    <row r="72" ht="15.75" customHeight="1">
      <c r="A72" s="19" t="s">
        <v>261</v>
      </c>
      <c r="B72" s="6" t="s">
        <v>262</v>
      </c>
      <c r="C72" s="19" t="s">
        <v>8</v>
      </c>
    </row>
    <row r="73" ht="15.75" customHeight="1">
      <c r="A73" s="19" t="s">
        <v>101</v>
      </c>
      <c r="B73" s="6" t="s">
        <v>262</v>
      </c>
      <c r="C73" s="19" t="s">
        <v>8</v>
      </c>
    </row>
    <row r="74" ht="15.75" customHeight="1">
      <c r="A74" s="19" t="s">
        <v>263</v>
      </c>
      <c r="B74" s="6" t="s">
        <v>262</v>
      </c>
      <c r="C74" s="19" t="s">
        <v>8</v>
      </c>
    </row>
    <row r="75" ht="15.75" customHeight="1">
      <c r="A75" s="19" t="s">
        <v>264</v>
      </c>
      <c r="B75" s="6" t="s">
        <v>193</v>
      </c>
      <c r="C75" s="19" t="s">
        <v>8</v>
      </c>
    </row>
    <row r="76" ht="15.75" customHeight="1">
      <c r="A76" s="19" t="s">
        <v>265</v>
      </c>
      <c r="B76" s="6" t="s">
        <v>193</v>
      </c>
      <c r="C76" s="19" t="s">
        <v>23</v>
      </c>
    </row>
    <row r="77" ht="15.75" customHeight="1">
      <c r="A77" s="19" t="s">
        <v>266</v>
      </c>
      <c r="B77" s="6" t="s">
        <v>267</v>
      </c>
      <c r="C77" s="19" t="s">
        <v>8</v>
      </c>
    </row>
    <row r="78" ht="15.75" customHeight="1">
      <c r="A78" s="19" t="s">
        <v>268</v>
      </c>
      <c r="B78" s="6" t="s">
        <v>269</v>
      </c>
      <c r="C78" s="19" t="s">
        <v>8</v>
      </c>
    </row>
    <row r="79" ht="15.75" customHeight="1">
      <c r="A79" s="19" t="s">
        <v>103</v>
      </c>
      <c r="B79" s="6" t="s">
        <v>270</v>
      </c>
      <c r="C79" s="19" t="s">
        <v>8</v>
      </c>
    </row>
    <row r="80" ht="15.75" customHeight="1">
      <c r="A80" s="19" t="s">
        <v>105</v>
      </c>
      <c r="B80" s="6" t="s">
        <v>262</v>
      </c>
      <c r="C80" s="19" t="s">
        <v>8</v>
      </c>
    </row>
    <row r="81" ht="15.75" customHeight="1">
      <c r="A81" s="61" t="s">
        <v>107</v>
      </c>
      <c r="B81" s="6"/>
      <c r="C81" s="19"/>
    </row>
    <row r="82" ht="15.75" customHeight="1">
      <c r="A82" s="13" t="s">
        <v>271</v>
      </c>
      <c r="B82" s="6" t="s">
        <v>272</v>
      </c>
      <c r="C82" s="19" t="s">
        <v>23</v>
      </c>
    </row>
    <row r="83" ht="15.75" customHeight="1">
      <c r="A83" s="13" t="s">
        <v>273</v>
      </c>
      <c r="B83" s="6" t="s">
        <v>193</v>
      </c>
      <c r="C83" s="19" t="s">
        <v>8</v>
      </c>
    </row>
    <row r="84" ht="15.75" customHeight="1">
      <c r="A84" s="13" t="s">
        <v>274</v>
      </c>
      <c r="B84" s="6" t="s">
        <v>267</v>
      </c>
      <c r="C84" s="19" t="s">
        <v>8</v>
      </c>
      <c r="D84" s="6" t="s">
        <v>275</v>
      </c>
    </row>
    <row r="85" ht="15.75" customHeight="1">
      <c r="A85" s="13" t="s">
        <v>276</v>
      </c>
      <c r="B85" s="6" t="s">
        <v>277</v>
      </c>
      <c r="C85" s="19" t="s">
        <v>23</v>
      </c>
    </row>
    <row r="86" ht="15.75" customHeight="1">
      <c r="A86" s="13" t="s">
        <v>278</v>
      </c>
      <c r="B86" s="6" t="s">
        <v>193</v>
      </c>
      <c r="C86" s="19" t="s">
        <v>23</v>
      </c>
    </row>
    <row r="87" ht="15.75" customHeight="1">
      <c r="A87" s="10" t="s">
        <v>118</v>
      </c>
      <c r="B87" s="62"/>
      <c r="C87" s="5"/>
      <c r="D87" s="4"/>
    </row>
    <row r="88" ht="15.75" customHeight="1">
      <c r="A88" s="66" t="s">
        <v>279</v>
      </c>
      <c r="B88" s="64">
        <v>44166.0</v>
      </c>
      <c r="C88" s="19" t="s">
        <v>120</v>
      </c>
    </row>
    <row r="89" ht="15.75" customHeight="1">
      <c r="A89" s="66" t="s">
        <v>280</v>
      </c>
      <c r="B89" s="64">
        <v>44166.0</v>
      </c>
      <c r="C89" s="19" t="s">
        <v>120</v>
      </c>
      <c r="D89" s="6" t="s">
        <v>281</v>
      </c>
    </row>
    <row r="90" ht="15.75" customHeight="1">
      <c r="A90" s="66" t="s">
        <v>282</v>
      </c>
      <c r="B90" s="64">
        <v>44166.0</v>
      </c>
      <c r="C90" s="19" t="s">
        <v>120</v>
      </c>
    </row>
    <row r="91" ht="15.75" customHeight="1">
      <c r="A91" s="66" t="s">
        <v>283</v>
      </c>
      <c r="B91" s="64">
        <v>44169.0</v>
      </c>
      <c r="C91" s="19" t="s">
        <v>120</v>
      </c>
    </row>
    <row r="92" ht="15.75" customHeight="1">
      <c r="A92" s="66" t="s">
        <v>284</v>
      </c>
      <c r="B92" s="64">
        <v>44169.0</v>
      </c>
      <c r="C92" s="19" t="s">
        <v>120</v>
      </c>
      <c r="D92" s="6"/>
    </row>
    <row r="93" ht="15.75" customHeight="1">
      <c r="A93" s="66" t="s">
        <v>285</v>
      </c>
      <c r="B93" s="64"/>
      <c r="C93" s="19" t="s">
        <v>120</v>
      </c>
    </row>
    <row r="94" ht="15.75" customHeight="1">
      <c r="A94" s="66" t="s">
        <v>286</v>
      </c>
      <c r="B94" s="64">
        <v>44165.0</v>
      </c>
      <c r="C94" s="19" t="s">
        <v>120</v>
      </c>
    </row>
    <row r="95" ht="15.75" customHeight="1">
      <c r="A95" s="66" t="s">
        <v>287</v>
      </c>
      <c r="B95" s="64">
        <v>44169.0</v>
      </c>
      <c r="C95" s="19" t="s">
        <v>120</v>
      </c>
      <c r="D95" s="6" t="s">
        <v>288</v>
      </c>
    </row>
    <row r="96" ht="15.75" customHeight="1">
      <c r="A96" s="95" t="s">
        <v>289</v>
      </c>
      <c r="B96" s="64">
        <v>44166.0</v>
      </c>
      <c r="C96" s="19" t="s">
        <v>290</v>
      </c>
    </row>
    <row r="97" ht="15.75" customHeight="1">
      <c r="A97" s="67" t="s">
        <v>291</v>
      </c>
      <c r="B97" s="64">
        <v>44169.0</v>
      </c>
      <c r="C97" s="19" t="s">
        <v>292</v>
      </c>
    </row>
    <row r="98" ht="15.75" customHeight="1">
      <c r="A98" s="96" t="s">
        <v>293</v>
      </c>
      <c r="B98" s="64">
        <v>44165.0</v>
      </c>
      <c r="C98" s="19" t="s">
        <v>129</v>
      </c>
    </row>
    <row r="99" ht="15.75" customHeight="1">
      <c r="A99" s="96" t="s">
        <v>135</v>
      </c>
      <c r="B99" s="64">
        <v>44167.0</v>
      </c>
      <c r="C99" s="19" t="s">
        <v>129</v>
      </c>
    </row>
    <row r="100" ht="15.75" customHeight="1">
      <c r="A100" s="96" t="s">
        <v>126</v>
      </c>
      <c r="B100" s="64">
        <v>44166.0</v>
      </c>
      <c r="C100" s="19" t="s">
        <v>129</v>
      </c>
      <c r="D100" s="6" t="s">
        <v>127</v>
      </c>
    </row>
    <row r="101" ht="15.75" customHeight="1">
      <c r="A101" s="96" t="s">
        <v>131</v>
      </c>
      <c r="B101" s="64">
        <v>44167.0</v>
      </c>
      <c r="C101" s="19" t="s">
        <v>129</v>
      </c>
    </row>
    <row r="102" ht="15.75" customHeight="1">
      <c r="A102" s="96" t="s">
        <v>294</v>
      </c>
      <c r="B102" s="64">
        <v>44167.0</v>
      </c>
      <c r="C102" s="19" t="s">
        <v>129</v>
      </c>
      <c r="D102" s="6"/>
    </row>
    <row r="103" ht="15.75" customHeight="1">
      <c r="A103" s="96" t="s">
        <v>295</v>
      </c>
      <c r="B103" s="64">
        <v>44169.0</v>
      </c>
      <c r="C103" s="19" t="s">
        <v>129</v>
      </c>
      <c r="D103" s="6"/>
    </row>
    <row r="104" ht="15.75" customHeight="1"/>
    <row r="105" ht="15.75" customHeight="1">
      <c r="A105" s="97" t="s">
        <v>296</v>
      </c>
      <c r="B105" s="64"/>
      <c r="C105" s="19"/>
      <c r="D105" s="6" t="s">
        <v>297</v>
      </c>
    </row>
    <row r="106" ht="15.75" customHeight="1">
      <c r="A106" s="19" t="s">
        <v>138</v>
      </c>
      <c r="C106" s="19"/>
      <c r="D106" s="6"/>
    </row>
    <row r="107" ht="15.75" customHeight="1">
      <c r="A107" s="19" t="s">
        <v>139</v>
      </c>
      <c r="C107" s="19"/>
    </row>
    <row r="108" ht="15.75" customHeight="1">
      <c r="A108" s="19" t="s">
        <v>140</v>
      </c>
      <c r="C108" s="19"/>
    </row>
    <row r="109" ht="15.75" customHeight="1">
      <c r="A109" s="19" t="s">
        <v>141</v>
      </c>
      <c r="C109" s="19"/>
    </row>
    <row r="110" ht="15.75" customHeight="1">
      <c r="A110" s="19" t="s">
        <v>142</v>
      </c>
      <c r="B110" s="6"/>
      <c r="C110" s="19"/>
    </row>
    <row r="111" ht="15.75" customHeight="1">
      <c r="A111" s="3" t="s">
        <v>143</v>
      </c>
      <c r="B111" s="4"/>
      <c r="C111" s="5"/>
      <c r="D111" s="4"/>
    </row>
    <row r="112" ht="15.75" customHeight="1">
      <c r="A112" s="19" t="s">
        <v>298</v>
      </c>
      <c r="C112" s="19" t="s">
        <v>8</v>
      </c>
      <c r="D112" s="6" t="s">
        <v>299</v>
      </c>
    </row>
    <row r="113" ht="15.75" customHeight="1">
      <c r="A113" s="19" t="s">
        <v>300</v>
      </c>
      <c r="B113" s="6" t="s">
        <v>272</v>
      </c>
      <c r="C113" s="19" t="s">
        <v>8</v>
      </c>
    </row>
    <row r="114" ht="15.75" customHeight="1">
      <c r="A114" s="19" t="s">
        <v>144</v>
      </c>
      <c r="B114" s="6" t="s">
        <v>301</v>
      </c>
      <c r="C114" s="19"/>
    </row>
    <row r="115" ht="15.75" customHeight="1">
      <c r="A115" s="19" t="s">
        <v>302</v>
      </c>
      <c r="B115" s="6" t="s">
        <v>303</v>
      </c>
      <c r="C115" s="19"/>
    </row>
    <row r="116" ht="15.75" customHeight="1">
      <c r="A116" s="19" t="s">
        <v>145</v>
      </c>
      <c r="B116" s="6" t="s">
        <v>303</v>
      </c>
      <c r="C116" s="19"/>
    </row>
    <row r="117" ht="15.75" customHeight="1">
      <c r="A117" s="19" t="s">
        <v>304</v>
      </c>
      <c r="B117" s="6" t="s">
        <v>303</v>
      </c>
      <c r="C117" s="19"/>
    </row>
    <row r="118" ht="15.75" customHeight="1">
      <c r="A118" s="89" t="s">
        <v>305</v>
      </c>
      <c r="B118" s="98">
        <v>44165.0</v>
      </c>
      <c r="C118" s="89" t="s">
        <v>23</v>
      </c>
      <c r="D118" s="99" t="s">
        <v>306</v>
      </c>
    </row>
    <row r="119" ht="15.75" customHeight="1">
      <c r="A119" s="89" t="s">
        <v>307</v>
      </c>
      <c r="B119" s="98">
        <v>44165.0</v>
      </c>
      <c r="C119" s="89" t="s">
        <v>23</v>
      </c>
      <c r="D119" s="99" t="s">
        <v>308</v>
      </c>
    </row>
    <row r="120" ht="15.75" customHeight="1">
      <c r="A120" s="89" t="s">
        <v>309</v>
      </c>
      <c r="B120" s="98">
        <v>44165.0</v>
      </c>
      <c r="C120" s="89" t="s">
        <v>23</v>
      </c>
      <c r="D120" s="99" t="s">
        <v>310</v>
      </c>
    </row>
    <row r="121" ht="15.75" customHeight="1">
      <c r="A121" s="19" t="s">
        <v>311</v>
      </c>
      <c r="C121" s="19" t="s">
        <v>8</v>
      </c>
      <c r="D121" s="6" t="s">
        <v>312</v>
      </c>
    </row>
    <row r="122" ht="15.75" customHeight="1">
      <c r="A122" s="89" t="s">
        <v>313</v>
      </c>
      <c r="B122" s="100">
        <v>44168.0</v>
      </c>
      <c r="C122" s="89" t="s">
        <v>23</v>
      </c>
      <c r="D122" s="99" t="s">
        <v>314</v>
      </c>
    </row>
    <row r="123" ht="15.75" customHeight="1">
      <c r="A123" s="10" t="s">
        <v>315</v>
      </c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19" t="s">
        <v>148</v>
      </c>
      <c r="B124" s="68">
        <v>44196.0</v>
      </c>
      <c r="C124" s="19" t="s">
        <v>8</v>
      </c>
      <c r="D124" s="6" t="s">
        <v>150</v>
      </c>
    </row>
    <row r="125" ht="46.5" customHeight="1">
      <c r="A125" s="19" t="s">
        <v>151</v>
      </c>
      <c r="B125" s="68">
        <v>44170.0</v>
      </c>
      <c r="C125" s="19" t="s">
        <v>8</v>
      </c>
      <c r="D125" s="6" t="s">
        <v>153</v>
      </c>
    </row>
    <row r="126" ht="15.75" customHeight="1">
      <c r="A126" s="19" t="s">
        <v>154</v>
      </c>
      <c r="B126" s="68">
        <v>44196.0</v>
      </c>
      <c r="C126" s="19" t="s">
        <v>8</v>
      </c>
    </row>
    <row r="127" ht="15.75" customHeight="1">
      <c r="A127" s="19" t="s">
        <v>316</v>
      </c>
      <c r="B127" s="68">
        <v>44196.0</v>
      </c>
      <c r="C127" s="19"/>
    </row>
    <row r="128" ht="15.75" customHeight="1">
      <c r="A128" s="19" t="s">
        <v>317</v>
      </c>
      <c r="B128" s="68">
        <v>44166.0</v>
      </c>
      <c r="C128" s="19" t="s">
        <v>23</v>
      </c>
      <c r="D128" s="6" t="s">
        <v>318</v>
      </c>
    </row>
    <row r="129" ht="15.75" customHeight="1">
      <c r="A129" s="19" t="s">
        <v>319</v>
      </c>
      <c r="B129" s="68">
        <v>44170.0</v>
      </c>
      <c r="C129" s="19" t="s">
        <v>320</v>
      </c>
      <c r="D129" s="6" t="s">
        <v>321</v>
      </c>
    </row>
    <row r="130" ht="15.75" customHeight="1">
      <c r="A130" s="19" t="s">
        <v>322</v>
      </c>
      <c r="B130" s="68">
        <v>44166.0</v>
      </c>
      <c r="C130" s="19" t="s">
        <v>323</v>
      </c>
    </row>
    <row r="131" ht="15.75" customHeight="1">
      <c r="A131" s="19" t="s">
        <v>324</v>
      </c>
      <c r="B131" s="68">
        <v>44166.0</v>
      </c>
      <c r="C131" s="19" t="s">
        <v>323</v>
      </c>
      <c r="D131" s="6" t="s">
        <v>325</v>
      </c>
    </row>
    <row r="132" ht="15.75" customHeight="1">
      <c r="A132" s="19" t="s">
        <v>326</v>
      </c>
      <c r="B132" s="68">
        <v>44196.0</v>
      </c>
      <c r="C132" s="19" t="s">
        <v>8</v>
      </c>
      <c r="D132" s="6" t="s">
        <v>327</v>
      </c>
    </row>
    <row r="133" ht="15.75" customHeight="1">
      <c r="A133" s="19" t="s">
        <v>158</v>
      </c>
      <c r="B133" s="68">
        <v>44196.0</v>
      </c>
      <c r="C133" s="19" t="s">
        <v>152</v>
      </c>
    </row>
    <row r="134" ht="15.75" customHeight="1">
      <c r="A134" s="19" t="s">
        <v>328</v>
      </c>
      <c r="B134" s="68">
        <v>44166.0</v>
      </c>
      <c r="C134" s="19" t="s">
        <v>23</v>
      </c>
      <c r="D134" s="6" t="s">
        <v>329</v>
      </c>
    </row>
    <row r="135" ht="15.75" customHeight="1">
      <c r="A135" s="19" t="s">
        <v>330</v>
      </c>
      <c r="B135" s="68">
        <v>44180.0</v>
      </c>
      <c r="C135" s="19" t="s">
        <v>152</v>
      </c>
      <c r="D135" s="6" t="s">
        <v>331</v>
      </c>
    </row>
    <row r="136" ht="15.75" customHeight="1">
      <c r="A136" s="19" t="s">
        <v>332</v>
      </c>
      <c r="B136" s="68">
        <v>44166.0</v>
      </c>
      <c r="C136" s="19" t="s">
        <v>23</v>
      </c>
      <c r="D136" s="6" t="s">
        <v>333</v>
      </c>
    </row>
    <row r="137" ht="15.75" customHeight="1">
      <c r="A137" s="19" t="s">
        <v>334</v>
      </c>
      <c r="B137" s="68">
        <v>44196.0</v>
      </c>
      <c r="C137" s="19" t="s">
        <v>335</v>
      </c>
    </row>
    <row r="138" ht="15.75" customHeight="1">
      <c r="A138" s="19" t="s">
        <v>336</v>
      </c>
      <c r="B138" s="68">
        <v>44170.0</v>
      </c>
      <c r="C138" s="19" t="s">
        <v>152</v>
      </c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>
      <c r="A338" s="19"/>
      <c r="C338" s="19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25">
    <cfRule type="notContainsBlanks" dxfId="0" priority="1">
      <formula>LEN(TRIM(A125))&gt;0</formula>
    </cfRule>
  </conditionalFormatting>
  <hyperlinks>
    <hyperlink r:id="rId1" ref="A19"/>
    <hyperlink r:id="rId2" ref="A27"/>
    <hyperlink r:id="rId3" ref="A105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89.25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5.75" customHeight="1">
      <c r="A2" s="3" t="s">
        <v>337</v>
      </c>
      <c r="B2" s="4"/>
      <c r="C2" s="5"/>
      <c r="D2" s="4"/>
    </row>
    <row r="3" ht="15.75" customHeight="1">
      <c r="A3" s="19" t="s">
        <v>338</v>
      </c>
      <c r="B3" s="26"/>
      <c r="C3" s="9" t="s">
        <v>339</v>
      </c>
      <c r="D3" s="6" t="s">
        <v>340</v>
      </c>
    </row>
    <row r="4" ht="15.75" customHeight="1">
      <c r="A4" s="6" t="s">
        <v>341</v>
      </c>
      <c r="B4" s="7"/>
      <c r="C4" s="9" t="s">
        <v>339</v>
      </c>
      <c r="D4" s="6" t="s">
        <v>340</v>
      </c>
    </row>
    <row r="5" ht="15.75" customHeight="1">
      <c r="A5" s="6" t="s">
        <v>342</v>
      </c>
      <c r="B5" s="7"/>
      <c r="C5" s="9" t="s">
        <v>339</v>
      </c>
    </row>
    <row r="6" ht="15.75" customHeight="1">
      <c r="A6" s="6" t="s">
        <v>343</v>
      </c>
      <c r="B6" s="7"/>
      <c r="C6" s="9" t="s">
        <v>344</v>
      </c>
    </row>
    <row r="7" ht="15.75" customHeight="1">
      <c r="A7" s="6" t="s">
        <v>5</v>
      </c>
      <c r="B7" s="7"/>
      <c r="C7" s="9" t="s">
        <v>8</v>
      </c>
    </row>
    <row r="8" ht="15.75" customHeight="1">
      <c r="A8" s="6" t="s">
        <v>345</v>
      </c>
      <c r="B8" s="101">
        <v>44216.0</v>
      </c>
      <c r="C8" s="9" t="s">
        <v>8</v>
      </c>
    </row>
    <row r="9" ht="15.75" customHeight="1">
      <c r="A9" s="10" t="s">
        <v>9</v>
      </c>
      <c r="B9" s="11"/>
      <c r="C9" s="12"/>
      <c r="D9" s="4"/>
    </row>
    <row r="10" ht="15.75" customHeight="1">
      <c r="A10" s="13" t="s">
        <v>10</v>
      </c>
      <c r="B10" s="7" t="s">
        <v>11</v>
      </c>
      <c r="C10" s="9" t="s">
        <v>8</v>
      </c>
    </row>
    <row r="11" ht="15.75" customHeight="1">
      <c r="A11" s="13" t="s">
        <v>12</v>
      </c>
      <c r="B11" s="7" t="s">
        <v>11</v>
      </c>
      <c r="C11" s="9" t="s">
        <v>8</v>
      </c>
    </row>
    <row r="12" ht="15.75" customHeight="1">
      <c r="A12" s="13" t="s">
        <v>13</v>
      </c>
      <c r="B12" s="7" t="s">
        <v>14</v>
      </c>
      <c r="C12" s="9" t="s">
        <v>8</v>
      </c>
    </row>
    <row r="13" ht="15.75" customHeight="1">
      <c r="A13" s="14" t="s">
        <v>15</v>
      </c>
      <c r="B13" s="15" t="s">
        <v>16</v>
      </c>
      <c r="C13" s="16" t="s">
        <v>8</v>
      </c>
      <c r="D13" s="17" t="s">
        <v>17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15.75" customHeight="1">
      <c r="A14" s="19" t="s">
        <v>18</v>
      </c>
      <c r="B14" s="7" t="s">
        <v>16</v>
      </c>
      <c r="C14" s="9" t="s">
        <v>8</v>
      </c>
      <c r="D14" s="6" t="s">
        <v>19</v>
      </c>
    </row>
    <row r="15" ht="15.75" customHeight="1">
      <c r="A15" s="19" t="s">
        <v>20</v>
      </c>
      <c r="B15" s="7" t="s">
        <v>16</v>
      </c>
      <c r="C15" s="9" t="s">
        <v>8</v>
      </c>
      <c r="D15" s="6" t="s">
        <v>21</v>
      </c>
    </row>
    <row r="16" ht="15.75" customHeight="1">
      <c r="A16" s="102" t="s">
        <v>346</v>
      </c>
      <c r="B16" s="103">
        <v>43883.0</v>
      </c>
      <c r="C16" s="9" t="s">
        <v>23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15.75" customHeight="1">
      <c r="A17" s="102" t="s">
        <v>347</v>
      </c>
      <c r="B17" s="103">
        <v>43883.0</v>
      </c>
      <c r="C17" s="9" t="s">
        <v>23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15.75" customHeight="1">
      <c r="A18" s="102" t="s">
        <v>348</v>
      </c>
      <c r="B18" s="22" t="s">
        <v>349</v>
      </c>
      <c r="C18" s="9" t="s">
        <v>23</v>
      </c>
      <c r="D18" s="18" t="s">
        <v>350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customHeight="1">
      <c r="A19" s="20" t="s">
        <v>351</v>
      </c>
      <c r="B19" s="21">
        <v>44189.0</v>
      </c>
      <c r="C19" s="9" t="s">
        <v>23</v>
      </c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15.75" customHeight="1">
      <c r="A20" s="20" t="s">
        <v>352</v>
      </c>
      <c r="B20" s="22" t="s">
        <v>25</v>
      </c>
      <c r="C20" s="9" t="s">
        <v>23</v>
      </c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20" t="s">
        <v>353</v>
      </c>
      <c r="B21" s="22" t="s">
        <v>354</v>
      </c>
      <c r="C21" s="9" t="s">
        <v>23</v>
      </c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104" t="s">
        <v>26</v>
      </c>
      <c r="B22" s="7" t="s">
        <v>355</v>
      </c>
      <c r="C22" s="9" t="s">
        <v>8</v>
      </c>
      <c r="D22" s="24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75" customHeight="1">
      <c r="A23" s="13" t="s">
        <v>27</v>
      </c>
      <c r="B23" s="7" t="s">
        <v>25</v>
      </c>
      <c r="C23" s="9" t="s">
        <v>8</v>
      </c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>
      <c r="A24" s="25" t="s">
        <v>28</v>
      </c>
      <c r="B24" s="15" t="s">
        <v>29</v>
      </c>
      <c r="C24" s="16" t="s">
        <v>8</v>
      </c>
      <c r="D24" s="24" t="s">
        <v>30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15.75" customHeight="1">
      <c r="A25" s="13" t="s">
        <v>203</v>
      </c>
      <c r="B25" s="26"/>
      <c r="C25" s="9" t="s">
        <v>8</v>
      </c>
      <c r="D25" s="27"/>
    </row>
    <row r="26" ht="15.75" customHeight="1">
      <c r="A26" s="28" t="s">
        <v>356</v>
      </c>
      <c r="B26" s="29"/>
      <c r="C26" s="16" t="s">
        <v>8</v>
      </c>
      <c r="D26" s="18" t="s">
        <v>33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15.75" customHeight="1">
      <c r="A27" s="13" t="s">
        <v>34</v>
      </c>
      <c r="B27" s="15"/>
      <c r="C27" s="16" t="s">
        <v>8</v>
      </c>
      <c r="D27" s="6" t="s">
        <v>35</v>
      </c>
    </row>
    <row r="28" ht="15.75" customHeight="1">
      <c r="A28" s="25" t="s">
        <v>36</v>
      </c>
      <c r="B28" s="29"/>
      <c r="C28" s="16" t="s">
        <v>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customHeight="1">
      <c r="A29" s="30" t="s">
        <v>37</v>
      </c>
      <c r="B29" s="29"/>
      <c r="C29" s="16" t="s">
        <v>8</v>
      </c>
      <c r="D29" s="31" t="s">
        <v>357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75" customHeight="1">
      <c r="A30" s="3" t="s">
        <v>39</v>
      </c>
      <c r="B30" s="4"/>
      <c r="C30" s="5"/>
      <c r="D30" s="4"/>
    </row>
    <row r="31" ht="15.75" customHeight="1">
      <c r="A31" s="32" t="s">
        <v>40</v>
      </c>
      <c r="B31" s="29">
        <v>44218.0</v>
      </c>
      <c r="C31" s="16" t="s">
        <v>8</v>
      </c>
      <c r="D31" s="33" t="s">
        <v>41</v>
      </c>
      <c r="E31" s="27"/>
    </row>
    <row r="32" ht="15.75" customHeight="1">
      <c r="A32" s="32" t="s">
        <v>44</v>
      </c>
      <c r="B32" s="71">
        <v>44218.0</v>
      </c>
      <c r="C32" s="36"/>
      <c r="D32" s="37" t="s">
        <v>45</v>
      </c>
      <c r="E32" s="27"/>
    </row>
    <row r="33" ht="15.75" customHeight="1">
      <c r="A33" s="35" t="s">
        <v>48</v>
      </c>
      <c r="B33" s="44">
        <v>44218.0</v>
      </c>
      <c r="C33" s="36"/>
      <c r="D33" s="45" t="s">
        <v>49</v>
      </c>
      <c r="E33" s="27"/>
    </row>
    <row r="34" ht="15.75" customHeight="1">
      <c r="A34" s="46" t="s">
        <v>53</v>
      </c>
      <c r="B34" s="47">
        <v>44218.0</v>
      </c>
      <c r="C34" s="48" t="s">
        <v>8</v>
      </c>
      <c r="D34" s="49" t="s">
        <v>54</v>
      </c>
      <c r="E34" s="27"/>
    </row>
    <row r="35" ht="15.75" customHeight="1">
      <c r="A35" s="35" t="s">
        <v>55</v>
      </c>
      <c r="B35" s="44">
        <v>44218.0</v>
      </c>
      <c r="C35" s="36"/>
      <c r="D35" s="45" t="s">
        <v>56</v>
      </c>
      <c r="E35" s="27"/>
    </row>
    <row r="36" ht="15.75" customHeight="1">
      <c r="A36" s="35" t="s">
        <v>57</v>
      </c>
      <c r="B36" s="44">
        <v>44218.0</v>
      </c>
      <c r="C36" s="36"/>
      <c r="D36" s="45" t="s">
        <v>58</v>
      </c>
      <c r="E36" s="27"/>
    </row>
    <row r="37" ht="15.75" customHeight="1">
      <c r="A37" s="35" t="s">
        <v>59</v>
      </c>
      <c r="B37" s="44">
        <v>44218.0</v>
      </c>
      <c r="C37" s="36"/>
      <c r="D37" s="45" t="s">
        <v>60</v>
      </c>
      <c r="E37" s="27"/>
    </row>
    <row r="38" ht="15.75" customHeight="1">
      <c r="A38" s="35" t="s">
        <v>61</v>
      </c>
      <c r="B38" s="44">
        <v>44218.0</v>
      </c>
      <c r="D38" s="45" t="s">
        <v>62</v>
      </c>
      <c r="E38" s="27"/>
    </row>
    <row r="39" ht="15.75" customHeight="1">
      <c r="A39" s="35" t="s">
        <v>67</v>
      </c>
      <c r="B39" s="44">
        <v>44218.0</v>
      </c>
      <c r="C39" s="36" t="s">
        <v>8</v>
      </c>
      <c r="D39" s="45"/>
      <c r="E39" s="27"/>
    </row>
    <row r="40" ht="15.75" customHeight="1">
      <c r="A40" s="35" t="s">
        <v>70</v>
      </c>
      <c r="B40" s="44">
        <v>44218.0</v>
      </c>
      <c r="C40" s="36"/>
      <c r="D40" s="45" t="s">
        <v>71</v>
      </c>
      <c r="E40" s="27"/>
    </row>
    <row r="41" ht="15.75" customHeight="1">
      <c r="A41" s="35" t="s">
        <v>72</v>
      </c>
      <c r="B41" s="44">
        <v>44218.0</v>
      </c>
      <c r="C41" s="36" t="s">
        <v>8</v>
      </c>
      <c r="D41" s="45" t="s">
        <v>358</v>
      </c>
      <c r="E41" s="27"/>
    </row>
    <row r="42" ht="15.75" customHeight="1">
      <c r="A42" s="35" t="s">
        <v>77</v>
      </c>
      <c r="B42" s="44">
        <v>44218.0</v>
      </c>
      <c r="C42" s="36"/>
      <c r="D42" s="45" t="s">
        <v>78</v>
      </c>
      <c r="E42" s="27"/>
    </row>
    <row r="43" ht="15.75" customHeight="1">
      <c r="A43" s="3" t="s">
        <v>80</v>
      </c>
      <c r="B43" s="54"/>
      <c r="C43" s="55"/>
      <c r="D43" s="4"/>
    </row>
    <row r="44" ht="25.5" customHeight="1">
      <c r="A44" s="19" t="s">
        <v>236</v>
      </c>
      <c r="B44" s="64">
        <v>44195.0</v>
      </c>
      <c r="C44" s="19" t="s">
        <v>75</v>
      </c>
    </row>
    <row r="45" ht="15.75" customHeight="1">
      <c r="A45" s="19" t="s">
        <v>359</v>
      </c>
      <c r="B45" s="64">
        <v>44190.0</v>
      </c>
      <c r="C45" s="19" t="s">
        <v>75</v>
      </c>
    </row>
    <row r="46" ht="15.75" customHeight="1">
      <c r="A46" s="19" t="s">
        <v>360</v>
      </c>
      <c r="B46" s="64">
        <v>44190.0</v>
      </c>
      <c r="C46" s="19" t="s">
        <v>75</v>
      </c>
    </row>
    <row r="47" ht="15.75" customHeight="1">
      <c r="A47" s="19" t="s">
        <v>361</v>
      </c>
      <c r="B47" s="64">
        <v>44190.0</v>
      </c>
      <c r="C47" s="19" t="s">
        <v>75</v>
      </c>
    </row>
    <row r="48" ht="15.75" customHeight="1">
      <c r="A48" s="19" t="s">
        <v>81</v>
      </c>
      <c r="B48" s="56">
        <v>44190.0</v>
      </c>
      <c r="C48" s="19" t="s">
        <v>8</v>
      </c>
      <c r="D48" s="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5.75" customHeight="1">
      <c r="A49" s="3" t="s">
        <v>82</v>
      </c>
      <c r="B49" s="4"/>
      <c r="C49" s="5"/>
      <c r="D49" s="4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 ht="15.75" customHeight="1">
      <c r="A50" s="105" t="s">
        <v>362</v>
      </c>
      <c r="B50" s="90"/>
      <c r="C50" s="19" t="s">
        <v>75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t="15.75" customHeight="1">
      <c r="A51" s="105" t="s">
        <v>363</v>
      </c>
      <c r="B51" s="90"/>
      <c r="C51" s="19" t="s">
        <v>364</v>
      </c>
      <c r="D51" s="2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 ht="15.75" customHeight="1">
      <c r="A52" s="105" t="s">
        <v>365</v>
      </c>
      <c r="B52" s="90"/>
      <c r="C52" s="19" t="s">
        <v>75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t="16.5" customHeight="1">
      <c r="A53" s="105" t="s">
        <v>366</v>
      </c>
      <c r="B53" s="58">
        <v>44186.0</v>
      </c>
      <c r="C53" s="19" t="s">
        <v>75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t="16.5" customHeight="1">
      <c r="A54" s="19" t="s">
        <v>83</v>
      </c>
      <c r="B54" s="90" t="s">
        <v>367</v>
      </c>
      <c r="C54" s="19" t="s">
        <v>368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t="16.5" customHeight="1">
      <c r="A55" s="19" t="s">
        <v>84</v>
      </c>
      <c r="B55" s="90" t="s">
        <v>367</v>
      </c>
      <c r="C55" s="19" t="s">
        <v>8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t="16.5" customHeight="1">
      <c r="A56" s="105" t="s">
        <v>369</v>
      </c>
      <c r="B56" s="90" t="s">
        <v>367</v>
      </c>
      <c r="C56" s="19" t="s">
        <v>75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ht="16.5" customHeight="1">
      <c r="A57" s="105" t="s">
        <v>370</v>
      </c>
      <c r="B57" s="58">
        <v>44187.0</v>
      </c>
      <c r="C57" s="19" t="s">
        <v>75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t="16.5" customHeight="1">
      <c r="A58" s="3" t="s">
        <v>87</v>
      </c>
      <c r="B58" s="4"/>
      <c r="C58" s="55" t="s">
        <v>23</v>
      </c>
      <c r="D58" s="4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t="15.75" customHeight="1">
      <c r="A59" s="13" t="s">
        <v>371</v>
      </c>
      <c r="B59" s="60">
        <v>44218.0</v>
      </c>
      <c r="C59" s="13" t="s">
        <v>372</v>
      </c>
      <c r="D59" s="27" t="s">
        <v>373</v>
      </c>
    </row>
    <row r="60" ht="15.75" customHeight="1">
      <c r="A60" s="13" t="s">
        <v>374</v>
      </c>
      <c r="B60" s="60">
        <v>44218.0</v>
      </c>
      <c r="C60" s="13"/>
      <c r="D60" s="27"/>
    </row>
    <row r="61" ht="15.75" customHeight="1">
      <c r="A61" s="13" t="s">
        <v>375</v>
      </c>
      <c r="B61" s="60">
        <v>44214.0</v>
      </c>
      <c r="C61" s="13"/>
      <c r="D61" s="27"/>
    </row>
    <row r="62" ht="15.75" customHeight="1">
      <c r="A62" s="27"/>
      <c r="B62" s="60"/>
      <c r="C62" s="13"/>
      <c r="D62" s="27"/>
    </row>
    <row r="63" ht="15.75" customHeight="1">
      <c r="A63" s="27"/>
      <c r="B63" s="59"/>
      <c r="C63" s="27"/>
      <c r="D63" s="27"/>
    </row>
    <row r="64" ht="15.75" customHeight="1">
      <c r="A64" s="27"/>
      <c r="B64" s="59"/>
      <c r="C64" s="13"/>
      <c r="D64" s="27"/>
    </row>
    <row r="65" ht="15.75" customHeight="1">
      <c r="A65" s="10" t="s">
        <v>98</v>
      </c>
      <c r="B65" s="4"/>
      <c r="C65" s="5"/>
      <c r="D65" s="4"/>
    </row>
    <row r="66" ht="15.75" customHeight="1" outlineLevel="1">
      <c r="A66" s="19" t="s">
        <v>99</v>
      </c>
      <c r="B66" s="6" t="s">
        <v>376</v>
      </c>
      <c r="C66" s="19" t="s">
        <v>8</v>
      </c>
    </row>
    <row r="67" ht="15.75" customHeight="1" outlineLevel="1">
      <c r="A67" s="19" t="s">
        <v>101</v>
      </c>
      <c r="B67" s="6" t="s">
        <v>377</v>
      </c>
      <c r="C67" s="19" t="s">
        <v>8</v>
      </c>
    </row>
    <row r="68" ht="15.75" customHeight="1" outlineLevel="1">
      <c r="A68" s="19" t="s">
        <v>263</v>
      </c>
      <c r="B68" s="6" t="s">
        <v>377</v>
      </c>
      <c r="C68" s="19" t="s">
        <v>8</v>
      </c>
    </row>
    <row r="69" ht="15.75" customHeight="1" outlineLevel="1">
      <c r="A69" s="19" t="s">
        <v>103</v>
      </c>
      <c r="B69" s="6" t="s">
        <v>377</v>
      </c>
      <c r="C69" s="19" t="s">
        <v>8</v>
      </c>
    </row>
    <row r="70" ht="15.75" customHeight="1" outlineLevel="1">
      <c r="A70" s="19" t="s">
        <v>105</v>
      </c>
      <c r="B70" s="6" t="s">
        <v>378</v>
      </c>
      <c r="C70" s="19" t="s">
        <v>8</v>
      </c>
    </row>
    <row r="71" ht="15.75" customHeight="1" outlineLevel="1">
      <c r="A71" s="61" t="s">
        <v>107</v>
      </c>
      <c r="B71" s="6"/>
      <c r="C71" s="19"/>
    </row>
    <row r="72" ht="15.75" customHeight="1" outlineLevel="1">
      <c r="A72" s="13" t="s">
        <v>274</v>
      </c>
      <c r="B72" s="6" t="s">
        <v>379</v>
      </c>
      <c r="C72" s="19" t="s">
        <v>8</v>
      </c>
      <c r="D72" s="6" t="s">
        <v>380</v>
      </c>
    </row>
    <row r="73" ht="15.75" customHeight="1" outlineLevel="1">
      <c r="A73" s="13" t="s">
        <v>111</v>
      </c>
      <c r="B73" s="6" t="s">
        <v>376</v>
      </c>
      <c r="C73" s="19" t="s">
        <v>8</v>
      </c>
      <c r="D73" s="6" t="s">
        <v>381</v>
      </c>
    </row>
    <row r="74" ht="15.75" customHeight="1" outlineLevel="1">
      <c r="A74" s="13" t="s">
        <v>113</v>
      </c>
      <c r="B74" s="6" t="s">
        <v>376</v>
      </c>
      <c r="C74" s="19" t="s">
        <v>8</v>
      </c>
      <c r="D74" s="6" t="s">
        <v>115</v>
      </c>
    </row>
    <row r="75" ht="15.75" customHeight="1" outlineLevel="1">
      <c r="A75" s="13" t="s">
        <v>382</v>
      </c>
      <c r="B75" s="6" t="s">
        <v>376</v>
      </c>
      <c r="C75" s="19" t="s">
        <v>8</v>
      </c>
      <c r="D75" s="6"/>
    </row>
    <row r="76" ht="15.75" customHeight="1" outlineLevel="1">
      <c r="A76" s="13" t="s">
        <v>383</v>
      </c>
      <c r="B76" s="6" t="s">
        <v>376</v>
      </c>
      <c r="C76" s="19" t="s">
        <v>8</v>
      </c>
      <c r="D76" s="6"/>
    </row>
    <row r="77" ht="15.75" customHeight="1" outlineLevel="1">
      <c r="A77" s="13" t="s">
        <v>384</v>
      </c>
      <c r="B77" s="6"/>
      <c r="C77" s="19"/>
      <c r="D77" s="6"/>
    </row>
    <row r="78" ht="15.75" customHeight="1" outlineLevel="1">
      <c r="A78" s="13" t="s">
        <v>385</v>
      </c>
      <c r="B78" s="6"/>
      <c r="C78" s="19"/>
      <c r="D78" s="6"/>
    </row>
    <row r="79" ht="15.75" customHeight="1" outlineLevel="1">
      <c r="A79" s="13" t="s">
        <v>386</v>
      </c>
      <c r="B79" s="6" t="s">
        <v>376</v>
      </c>
      <c r="C79" s="19" t="s">
        <v>8</v>
      </c>
      <c r="D79" s="6"/>
    </row>
    <row r="80" ht="15.75" customHeight="1" outlineLevel="1">
      <c r="A80" s="13" t="s">
        <v>387</v>
      </c>
      <c r="B80" s="6" t="s">
        <v>388</v>
      </c>
      <c r="C80" s="19" t="s">
        <v>8</v>
      </c>
      <c r="D80" s="6"/>
    </row>
    <row r="81" ht="15.75" customHeight="1" outlineLevel="1">
      <c r="A81" s="13" t="s">
        <v>389</v>
      </c>
      <c r="B81" s="6" t="s">
        <v>378</v>
      </c>
      <c r="C81" s="19" t="s">
        <v>8</v>
      </c>
      <c r="D81" s="6"/>
    </row>
    <row r="82" ht="15.75" customHeight="1">
      <c r="A82" s="10" t="s">
        <v>118</v>
      </c>
      <c r="B82" s="62"/>
      <c r="C82" s="5"/>
      <c r="D82" s="4"/>
    </row>
    <row r="83" ht="15.75" customHeight="1">
      <c r="A83" s="6" t="s">
        <v>390</v>
      </c>
      <c r="B83" s="64">
        <v>44214.0</v>
      </c>
      <c r="C83" s="19"/>
    </row>
    <row r="84" ht="15.75" customHeight="1">
      <c r="A84" s="13" t="s">
        <v>125</v>
      </c>
      <c r="B84" s="64">
        <v>44215.0</v>
      </c>
      <c r="C84" s="6"/>
      <c r="D84" s="6"/>
    </row>
    <row r="85" ht="15.75" customHeight="1">
      <c r="A85" s="6" t="s">
        <v>391</v>
      </c>
      <c r="B85" s="64">
        <v>44216.0</v>
      </c>
    </row>
    <row r="86" ht="15.75" customHeight="1">
      <c r="A86" s="67" t="s">
        <v>132</v>
      </c>
      <c r="B86" s="64">
        <v>44217.0</v>
      </c>
      <c r="D86" s="6" t="s">
        <v>137</v>
      </c>
    </row>
    <row r="87" ht="15.75" customHeight="1">
      <c r="A87" s="67" t="s">
        <v>135</v>
      </c>
      <c r="B87" s="64">
        <v>44217.0</v>
      </c>
      <c r="C87" s="19" t="s">
        <v>136</v>
      </c>
      <c r="D87" s="6" t="s">
        <v>137</v>
      </c>
    </row>
    <row r="88" ht="15.75" customHeight="1">
      <c r="A88" s="6" t="s">
        <v>392</v>
      </c>
      <c r="B88" s="64">
        <v>44218.0</v>
      </c>
      <c r="D88" s="65"/>
    </row>
    <row r="89" ht="15.75" customHeight="1">
      <c r="A89" s="13" t="s">
        <v>393</v>
      </c>
      <c r="B89" s="64">
        <v>44218.0</v>
      </c>
      <c r="C89" s="19" t="s">
        <v>129</v>
      </c>
      <c r="D89" s="6" t="s">
        <v>130</v>
      </c>
    </row>
    <row r="90" ht="15.75" customHeight="1">
      <c r="A90" s="13" t="s">
        <v>131</v>
      </c>
      <c r="B90" s="64">
        <v>44218.0</v>
      </c>
      <c r="C90" s="19"/>
    </row>
    <row r="91" ht="15.75" customHeight="1">
      <c r="A91" s="19" t="s">
        <v>138</v>
      </c>
    </row>
    <row r="92" ht="15.75" customHeight="1">
      <c r="A92" s="19" t="s">
        <v>139</v>
      </c>
      <c r="C92" s="19"/>
      <c r="D92" s="6"/>
    </row>
    <row r="93" ht="15.75" customHeight="1">
      <c r="A93" s="19" t="s">
        <v>140</v>
      </c>
      <c r="C93" s="19"/>
      <c r="D93" s="6"/>
    </row>
    <row r="94" ht="15.75" customHeight="1">
      <c r="A94" s="19" t="s">
        <v>141</v>
      </c>
      <c r="C94" s="19"/>
    </row>
    <row r="95" ht="15.75" customHeight="1">
      <c r="A95" s="19" t="s">
        <v>142</v>
      </c>
      <c r="C95" s="19"/>
    </row>
    <row r="96" ht="15.75" customHeight="1">
      <c r="B96" s="6"/>
      <c r="C96" s="19"/>
    </row>
    <row r="97" ht="15.75" customHeight="1">
      <c r="A97" s="3" t="s">
        <v>143</v>
      </c>
      <c r="B97" s="4"/>
      <c r="C97" s="5"/>
      <c r="D97" s="4"/>
    </row>
    <row r="98" ht="15.75" customHeight="1">
      <c r="A98" s="19" t="s">
        <v>144</v>
      </c>
      <c r="C98" s="19" t="s">
        <v>8</v>
      </c>
    </row>
    <row r="99" ht="15.75" customHeight="1">
      <c r="A99" s="19" t="s">
        <v>145</v>
      </c>
      <c r="C99" s="19"/>
    </row>
    <row r="100" ht="15.75" customHeight="1">
      <c r="A100" s="19" t="s">
        <v>394</v>
      </c>
      <c r="C100" s="19"/>
    </row>
    <row r="101" ht="15.75" customHeight="1">
      <c r="A101" s="10" t="s">
        <v>147</v>
      </c>
      <c r="B101" s="4"/>
      <c r="C101" s="5"/>
      <c r="D101" s="4"/>
    </row>
    <row r="102" ht="15.75" customHeight="1">
      <c r="A102" s="19" t="s">
        <v>148</v>
      </c>
      <c r="B102" s="68">
        <v>44227.0</v>
      </c>
      <c r="C102" s="19" t="s">
        <v>8</v>
      </c>
      <c r="D102" s="6" t="s">
        <v>150</v>
      </c>
    </row>
    <row r="103" ht="15.75" customHeight="1">
      <c r="A103" s="106" t="s">
        <v>395</v>
      </c>
      <c r="B103" s="68">
        <v>44227.0</v>
      </c>
      <c r="C103" s="19" t="s">
        <v>8</v>
      </c>
      <c r="D103" s="6"/>
    </row>
    <row r="104" ht="15.75" customHeight="1">
      <c r="A104" s="19" t="s">
        <v>396</v>
      </c>
      <c r="B104" s="68">
        <v>44227.0</v>
      </c>
      <c r="C104" s="19" t="s">
        <v>8</v>
      </c>
    </row>
    <row r="105" ht="15.75" customHeight="1">
      <c r="A105" s="19" t="s">
        <v>156</v>
      </c>
      <c r="B105" s="68">
        <v>44227.0</v>
      </c>
      <c r="C105" s="19" t="s">
        <v>8</v>
      </c>
    </row>
    <row r="106" ht="15.75" customHeight="1">
      <c r="A106" s="19" t="s">
        <v>158</v>
      </c>
      <c r="B106" s="68">
        <v>44237.0</v>
      </c>
      <c r="C106" s="19" t="s">
        <v>8</v>
      </c>
    </row>
    <row r="107" ht="15.75" customHeight="1">
      <c r="A107" s="19" t="s">
        <v>397</v>
      </c>
      <c r="B107" s="68">
        <v>44227.0</v>
      </c>
      <c r="C107" s="19" t="s">
        <v>8</v>
      </c>
    </row>
    <row r="108" ht="15.75" customHeight="1">
      <c r="A108" s="19" t="s">
        <v>398</v>
      </c>
      <c r="B108" s="68">
        <v>44227.0</v>
      </c>
      <c r="C108" s="19" t="s">
        <v>152</v>
      </c>
    </row>
    <row r="109" ht="15.75" customHeight="1">
      <c r="A109" s="19" t="s">
        <v>399</v>
      </c>
      <c r="B109" s="68">
        <v>44227.0</v>
      </c>
      <c r="C109" s="19" t="s">
        <v>8</v>
      </c>
    </row>
    <row r="110" ht="15.75" customHeight="1">
      <c r="A110" s="19" t="s">
        <v>400</v>
      </c>
      <c r="B110" s="68">
        <v>44255.0</v>
      </c>
      <c r="C110" s="19" t="s">
        <v>8</v>
      </c>
    </row>
    <row r="111" ht="15.75" customHeight="1">
      <c r="A111" s="19"/>
      <c r="B111" s="68"/>
      <c r="C111" s="19"/>
    </row>
    <row r="112" ht="15.75" customHeight="1">
      <c r="A112" s="19"/>
      <c r="C112" s="19"/>
    </row>
    <row r="113" ht="15.75" customHeight="1">
      <c r="A113" s="19"/>
      <c r="C113" s="19"/>
    </row>
    <row r="114" ht="15.75" customHeight="1">
      <c r="A114" s="19"/>
      <c r="C114" s="19"/>
    </row>
    <row r="115" ht="15.75" customHeight="1">
      <c r="A115" s="19"/>
      <c r="C115" s="19"/>
    </row>
    <row r="116" ht="15.75" customHeight="1">
      <c r="A116" s="19"/>
      <c r="C116" s="19"/>
    </row>
    <row r="117" ht="15.75" customHeight="1">
      <c r="A117" s="19"/>
      <c r="C117" s="19"/>
    </row>
    <row r="118" ht="15.75" customHeight="1">
      <c r="A118" s="19"/>
      <c r="C118" s="19"/>
    </row>
    <row r="119" ht="15.75" customHeight="1">
      <c r="A119" s="19"/>
      <c r="C119" s="19"/>
    </row>
    <row r="120" ht="15.75" customHeight="1">
      <c r="A120" s="19"/>
      <c r="C120" s="19"/>
    </row>
    <row r="121" ht="15.75" customHeight="1">
      <c r="A121" s="19"/>
      <c r="C121" s="19"/>
    </row>
    <row r="122" ht="15.75" customHeight="1">
      <c r="A122" s="19"/>
      <c r="C122" s="19"/>
    </row>
    <row r="123" ht="15.75" customHeight="1">
      <c r="A123" s="19"/>
      <c r="C123" s="19"/>
    </row>
    <row r="124" ht="15.75" customHeight="1">
      <c r="A124" s="19"/>
      <c r="C124" s="19"/>
    </row>
    <row r="125" ht="15.75" customHeight="1">
      <c r="A125" s="19"/>
      <c r="C125" s="19"/>
    </row>
    <row r="126" ht="15.75" customHeight="1">
      <c r="A126" s="19"/>
      <c r="C126" s="19"/>
    </row>
    <row r="127" ht="15.75" customHeight="1">
      <c r="A127" s="19"/>
      <c r="C127" s="19"/>
    </row>
    <row r="128" ht="15.75" customHeight="1">
      <c r="A128" s="19"/>
      <c r="C128" s="19"/>
    </row>
    <row r="129" ht="15.75" customHeight="1">
      <c r="A129" s="19"/>
      <c r="C129" s="19"/>
    </row>
    <row r="130" ht="15.75" customHeight="1">
      <c r="A130" s="19"/>
      <c r="C130" s="19"/>
    </row>
    <row r="131" ht="15.75" customHeight="1">
      <c r="A131" s="19"/>
      <c r="C131" s="19"/>
    </row>
    <row r="132" ht="15.75" customHeight="1">
      <c r="A132" s="19"/>
      <c r="C132" s="19"/>
    </row>
    <row r="133" ht="15.75" customHeight="1">
      <c r="A133" s="19"/>
      <c r="C133" s="19"/>
    </row>
    <row r="134" ht="15.75" customHeight="1">
      <c r="A134" s="19"/>
      <c r="C134" s="19"/>
    </row>
    <row r="135" ht="15.75" customHeight="1">
      <c r="A135" s="19"/>
      <c r="C135" s="19"/>
    </row>
    <row r="136" ht="15.75" customHeight="1">
      <c r="A136" s="19"/>
      <c r="C136" s="19"/>
    </row>
    <row r="137" ht="15.75" customHeight="1">
      <c r="A137" s="19"/>
      <c r="C137" s="19"/>
    </row>
    <row r="138" ht="15.75" customHeight="1">
      <c r="A138" s="19"/>
      <c r="C138" s="19"/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6"/>
    <hyperlink r:id="rId2" ref="D29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25"/>
    <col customWidth="1" min="2" max="2" width="18.63"/>
    <col customWidth="1" min="3" max="3" width="21.63"/>
    <col customWidth="1" min="4" max="4" width="67.7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5.75" customHeight="1">
      <c r="A2" s="3" t="s">
        <v>401</v>
      </c>
      <c r="B2" s="4"/>
      <c r="C2" s="5"/>
      <c r="D2" s="4"/>
    </row>
    <row r="3" ht="15.75" customHeight="1">
      <c r="A3" s="19" t="s">
        <v>173</v>
      </c>
      <c r="B3" s="26"/>
      <c r="C3" s="9" t="s">
        <v>8</v>
      </c>
      <c r="D3" s="6" t="s">
        <v>174</v>
      </c>
    </row>
    <row r="4" ht="15.75" customHeight="1">
      <c r="A4" s="19" t="s">
        <v>402</v>
      </c>
      <c r="B4" s="26"/>
      <c r="C4" s="9"/>
      <c r="D4" s="6" t="s">
        <v>403</v>
      </c>
    </row>
    <row r="5" ht="15.75" customHeight="1">
      <c r="A5" s="6" t="s">
        <v>177</v>
      </c>
      <c r="B5" s="7"/>
      <c r="C5" s="9" t="s">
        <v>8</v>
      </c>
    </row>
    <row r="6" ht="15.75" customHeight="1">
      <c r="A6" s="6" t="s">
        <v>404</v>
      </c>
      <c r="B6" s="7"/>
      <c r="C6" s="9" t="s">
        <v>405</v>
      </c>
    </row>
    <row r="7" ht="15.75" customHeight="1">
      <c r="A7" s="6" t="s">
        <v>406</v>
      </c>
      <c r="B7" s="7"/>
      <c r="C7" s="9" t="s">
        <v>407</v>
      </c>
    </row>
    <row r="8" ht="15.75" customHeight="1">
      <c r="A8" s="6" t="s">
        <v>408</v>
      </c>
      <c r="B8" s="7"/>
      <c r="C8" s="9" t="s">
        <v>409</v>
      </c>
    </row>
    <row r="9" ht="15.75" customHeight="1">
      <c r="A9" s="6" t="s">
        <v>410</v>
      </c>
      <c r="B9" s="7"/>
      <c r="C9" s="9" t="s">
        <v>411</v>
      </c>
    </row>
    <row r="10" ht="15.75" customHeight="1">
      <c r="A10" s="10" t="s">
        <v>9</v>
      </c>
      <c r="B10" s="11"/>
      <c r="C10" s="11"/>
      <c r="D10" s="4"/>
    </row>
    <row r="11" ht="15.75" customHeight="1">
      <c r="A11" s="13" t="s">
        <v>10</v>
      </c>
      <c r="B11" s="7" t="s">
        <v>11</v>
      </c>
      <c r="C11" s="9" t="s">
        <v>8</v>
      </c>
    </row>
    <row r="12" ht="15.75" customHeight="1">
      <c r="A12" s="13" t="s">
        <v>12</v>
      </c>
      <c r="B12" s="7" t="s">
        <v>11</v>
      </c>
      <c r="C12" s="9" t="s">
        <v>8</v>
      </c>
    </row>
    <row r="13" ht="15.75" customHeight="1">
      <c r="A13" s="13" t="s">
        <v>13</v>
      </c>
      <c r="B13" s="7" t="s">
        <v>14</v>
      </c>
      <c r="C13" s="9" t="s">
        <v>8</v>
      </c>
    </row>
    <row r="14" ht="15.75" customHeight="1">
      <c r="A14" s="14" t="s">
        <v>15</v>
      </c>
      <c r="B14" s="15" t="s">
        <v>16</v>
      </c>
      <c r="C14" s="16" t="s">
        <v>8</v>
      </c>
      <c r="D14" s="17" t="s">
        <v>17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15.75" customHeight="1">
      <c r="A15" s="19" t="s">
        <v>18</v>
      </c>
      <c r="B15" s="7" t="s">
        <v>16</v>
      </c>
      <c r="C15" s="9" t="s">
        <v>8</v>
      </c>
      <c r="D15" s="6" t="s">
        <v>19</v>
      </c>
    </row>
    <row r="16" ht="15.75" customHeight="1">
      <c r="A16" s="19" t="s">
        <v>20</v>
      </c>
      <c r="B16" s="7" t="s">
        <v>16</v>
      </c>
      <c r="C16" s="9" t="s">
        <v>8</v>
      </c>
      <c r="D16" s="6" t="s">
        <v>21</v>
      </c>
    </row>
    <row r="17" ht="15.75" customHeight="1">
      <c r="A17" s="23" t="s">
        <v>412</v>
      </c>
      <c r="B17" s="22" t="s">
        <v>413</v>
      </c>
      <c r="C17" s="9" t="s">
        <v>23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15.75" customHeight="1">
      <c r="A18" s="20" t="s">
        <v>414</v>
      </c>
      <c r="B18" s="22" t="s">
        <v>415</v>
      </c>
      <c r="C18" s="9" t="s">
        <v>23</v>
      </c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customHeight="1">
      <c r="A19" s="102" t="s">
        <v>416</v>
      </c>
      <c r="B19" s="21">
        <v>44182.0</v>
      </c>
      <c r="C19" s="9" t="s">
        <v>23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15.75" customHeight="1">
      <c r="A20" s="25" t="s">
        <v>347</v>
      </c>
      <c r="B20" s="7" t="s">
        <v>417</v>
      </c>
      <c r="C20" s="16" t="s">
        <v>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25" t="s">
        <v>348</v>
      </c>
      <c r="B21" s="7" t="s">
        <v>418</v>
      </c>
      <c r="C21" s="16" t="s">
        <v>8</v>
      </c>
      <c r="D21" s="18" t="s">
        <v>419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25" t="s">
        <v>420</v>
      </c>
      <c r="B22" s="7" t="s">
        <v>355</v>
      </c>
      <c r="C22" s="16" t="s">
        <v>8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75" customHeight="1">
      <c r="A23" s="25" t="s">
        <v>28</v>
      </c>
      <c r="B23" s="15" t="s">
        <v>29</v>
      </c>
      <c r="C23" s="16" t="s">
        <v>8</v>
      </c>
      <c r="D23" s="24" t="s">
        <v>421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>
      <c r="A24" s="72" t="s">
        <v>203</v>
      </c>
      <c r="B24" s="26"/>
      <c r="C24" s="9" t="s">
        <v>8</v>
      </c>
      <c r="D24" s="27" t="s">
        <v>422</v>
      </c>
    </row>
    <row r="25" ht="15.75" customHeight="1">
      <c r="A25" s="28" t="s">
        <v>423</v>
      </c>
      <c r="B25" s="29"/>
      <c r="C25" s="16" t="s">
        <v>8</v>
      </c>
      <c r="D25" s="18" t="s">
        <v>424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15.75" customHeight="1">
      <c r="A26" s="13" t="s">
        <v>34</v>
      </c>
      <c r="B26" s="15"/>
      <c r="C26" s="16" t="s">
        <v>8</v>
      </c>
      <c r="D26" s="6" t="s">
        <v>35</v>
      </c>
    </row>
    <row r="27" ht="15.75" customHeight="1">
      <c r="A27" s="25" t="s">
        <v>36</v>
      </c>
      <c r="B27" s="29"/>
      <c r="C27" s="16" t="s">
        <v>8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75" customHeight="1">
      <c r="A28" s="107" t="s">
        <v>37</v>
      </c>
      <c r="B28" s="29"/>
      <c r="C28" s="16" t="s">
        <v>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customHeight="1">
      <c r="A29" s="3" t="s">
        <v>39</v>
      </c>
      <c r="B29" s="4"/>
      <c r="C29" s="5"/>
      <c r="D29" s="4"/>
    </row>
    <row r="30" ht="15.75" customHeight="1">
      <c r="A30" s="32" t="s">
        <v>40</v>
      </c>
      <c r="B30" s="29">
        <v>44190.0</v>
      </c>
      <c r="C30" s="16" t="s">
        <v>8</v>
      </c>
      <c r="D30" s="33" t="s">
        <v>41</v>
      </c>
    </row>
    <row r="31" ht="25.5" customHeight="1">
      <c r="A31" s="32" t="s">
        <v>42</v>
      </c>
      <c r="B31" s="29">
        <v>44196.0</v>
      </c>
      <c r="C31" s="16" t="s">
        <v>8</v>
      </c>
      <c r="D31" s="35" t="s">
        <v>43</v>
      </c>
    </row>
    <row r="32" ht="15.75" customHeight="1">
      <c r="A32" s="32" t="s">
        <v>44</v>
      </c>
      <c r="B32" s="15"/>
      <c r="C32" s="36"/>
      <c r="D32" s="37" t="s">
        <v>45</v>
      </c>
    </row>
    <row r="33" ht="15.75" customHeight="1">
      <c r="A33" s="34" t="s">
        <v>46</v>
      </c>
      <c r="B33" s="15"/>
      <c r="C33" s="36" t="s">
        <v>8</v>
      </c>
      <c r="D33" s="37" t="s">
        <v>47</v>
      </c>
    </row>
    <row r="34" ht="15.75" customHeight="1">
      <c r="A34" s="35" t="s">
        <v>48</v>
      </c>
      <c r="B34" s="44">
        <v>44190.0</v>
      </c>
      <c r="C34" s="36"/>
      <c r="D34" s="45" t="s">
        <v>49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5.75" customHeight="1">
      <c r="A35" s="46" t="s">
        <v>50</v>
      </c>
      <c r="B35" s="47">
        <v>44190.0</v>
      </c>
      <c r="C35" s="48" t="s">
        <v>51</v>
      </c>
      <c r="D35" s="49" t="s">
        <v>425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5.75" customHeight="1">
      <c r="A36" s="46" t="s">
        <v>426</v>
      </c>
      <c r="B36" s="47">
        <v>44196.0</v>
      </c>
      <c r="C36" s="48" t="s">
        <v>8</v>
      </c>
      <c r="D36" s="49" t="s">
        <v>427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5.75" customHeight="1">
      <c r="A37" s="46" t="s">
        <v>53</v>
      </c>
      <c r="B37" s="47">
        <v>44196.0</v>
      </c>
      <c r="C37" s="48" t="s">
        <v>8</v>
      </c>
      <c r="D37" s="49" t="s">
        <v>54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ht="15.75" customHeight="1">
      <c r="A38" s="53" t="s">
        <v>229</v>
      </c>
      <c r="B38" s="51">
        <v>44179.0</v>
      </c>
      <c r="C38" s="40" t="s">
        <v>23</v>
      </c>
      <c r="D38" s="52" t="s">
        <v>428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.75" customHeight="1">
      <c r="A39" s="35" t="s">
        <v>55</v>
      </c>
      <c r="B39" s="44">
        <v>44190.0</v>
      </c>
      <c r="C39" s="36"/>
      <c r="D39" s="45" t="s">
        <v>56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35" t="s">
        <v>429</v>
      </c>
      <c r="B40" s="44">
        <v>44196.0</v>
      </c>
      <c r="C40" s="36"/>
      <c r="D40" s="45" t="s">
        <v>58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53" t="s">
        <v>430</v>
      </c>
      <c r="B41" s="51">
        <v>44179.0</v>
      </c>
      <c r="C41" s="40" t="s">
        <v>23</v>
      </c>
      <c r="D41" s="52" t="s">
        <v>431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5" customHeight="1">
      <c r="A42" s="35" t="s">
        <v>59</v>
      </c>
      <c r="B42" s="44">
        <v>44190.0</v>
      </c>
      <c r="C42" s="36"/>
      <c r="D42" s="45" t="s">
        <v>60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6.5" customHeight="1">
      <c r="A43" s="35" t="s">
        <v>432</v>
      </c>
      <c r="B43" s="44"/>
      <c r="C43" s="36" t="s">
        <v>8</v>
      </c>
      <c r="D43" s="45" t="s">
        <v>433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6.5" customHeight="1">
      <c r="A44" s="35" t="s">
        <v>434</v>
      </c>
      <c r="B44" s="44">
        <v>44190.0</v>
      </c>
      <c r="C44" s="36"/>
      <c r="D44" s="45" t="s">
        <v>435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6.5" customHeight="1">
      <c r="A45" s="35" t="s">
        <v>63</v>
      </c>
      <c r="B45" s="44">
        <v>44195.0</v>
      </c>
      <c r="C45" s="36" t="s">
        <v>8</v>
      </c>
      <c r="D45" s="45" t="s">
        <v>436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ht="16.5" customHeight="1">
      <c r="A46" s="35" t="s">
        <v>65</v>
      </c>
      <c r="B46" s="44">
        <v>44190.0</v>
      </c>
      <c r="C46" s="36"/>
      <c r="D46" s="45" t="s">
        <v>437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6.5" customHeight="1">
      <c r="A47" s="35" t="s">
        <v>67</v>
      </c>
      <c r="B47" s="44">
        <v>44190.0</v>
      </c>
      <c r="C47" s="36" t="s">
        <v>8</v>
      </c>
      <c r="D47" s="45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t="16.5" customHeight="1">
      <c r="A48" s="35" t="s">
        <v>68</v>
      </c>
      <c r="B48" s="44">
        <v>44190.0</v>
      </c>
      <c r="C48" s="36" t="s">
        <v>8</v>
      </c>
      <c r="D48" s="45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6.5" customHeight="1">
      <c r="A49" s="35" t="s">
        <v>70</v>
      </c>
      <c r="B49" s="44">
        <v>44190.0</v>
      </c>
      <c r="C49" s="36"/>
      <c r="D49" s="45" t="s">
        <v>71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5.75" customHeight="1">
      <c r="A50" s="3" t="s">
        <v>80</v>
      </c>
      <c r="B50" s="54"/>
      <c r="C50" s="55"/>
      <c r="D50" s="4"/>
    </row>
    <row r="51" ht="15.75" customHeight="1">
      <c r="A51" s="19" t="s">
        <v>438</v>
      </c>
      <c r="B51" s="56">
        <v>44183.0</v>
      </c>
      <c r="C51" s="89" t="s">
        <v>75</v>
      </c>
    </row>
    <row r="52" ht="15.75" customHeight="1">
      <c r="A52" s="19" t="s">
        <v>439</v>
      </c>
      <c r="B52" s="64">
        <v>44181.0</v>
      </c>
      <c r="C52" s="89" t="s">
        <v>75</v>
      </c>
    </row>
    <row r="53" ht="15.75" customHeight="1">
      <c r="A53" s="19" t="s">
        <v>236</v>
      </c>
      <c r="B53" s="64">
        <v>44195.0</v>
      </c>
      <c r="C53" s="19" t="s">
        <v>8</v>
      </c>
    </row>
    <row r="54" ht="15.75" customHeight="1">
      <c r="A54" s="19" t="s">
        <v>359</v>
      </c>
      <c r="B54" s="64">
        <v>44180.0</v>
      </c>
      <c r="C54" s="19" t="s">
        <v>8</v>
      </c>
    </row>
    <row r="55" ht="15.75" customHeight="1">
      <c r="A55" s="19" t="s">
        <v>361</v>
      </c>
      <c r="B55" s="64">
        <v>44182.0</v>
      </c>
      <c r="C55" s="19" t="s">
        <v>8</v>
      </c>
    </row>
    <row r="56" ht="15.75" customHeight="1">
      <c r="A56" s="19" t="s">
        <v>81</v>
      </c>
      <c r="B56" s="56">
        <v>44183.0</v>
      </c>
      <c r="C56" s="19" t="s">
        <v>8</v>
      </c>
      <c r="D56" s="6"/>
    </row>
    <row r="57" ht="15.75" customHeight="1">
      <c r="A57" s="3" t="s">
        <v>82</v>
      </c>
      <c r="B57" s="4"/>
      <c r="C57" s="5"/>
      <c r="D57" s="4"/>
    </row>
    <row r="58" ht="15.75" customHeight="1">
      <c r="A58" s="19" t="s">
        <v>83</v>
      </c>
      <c r="B58" s="90" t="s">
        <v>440</v>
      </c>
      <c r="C58" s="19" t="s">
        <v>8</v>
      </c>
      <c r="D58" s="27"/>
    </row>
    <row r="59" ht="15.75" customHeight="1">
      <c r="A59" s="19" t="s">
        <v>84</v>
      </c>
      <c r="B59" s="90" t="s">
        <v>440</v>
      </c>
      <c r="C59" s="19" t="s">
        <v>8</v>
      </c>
    </row>
    <row r="60" ht="15.75" customHeight="1">
      <c r="A60" s="19" t="s">
        <v>441</v>
      </c>
      <c r="B60" s="90" t="s">
        <v>440</v>
      </c>
      <c r="C60" s="19" t="s">
        <v>8</v>
      </c>
    </row>
    <row r="61" ht="15.75" customHeight="1">
      <c r="A61" s="19" t="s">
        <v>442</v>
      </c>
      <c r="B61" s="90" t="s">
        <v>440</v>
      </c>
      <c r="C61" s="19" t="s">
        <v>443</v>
      </c>
    </row>
    <row r="62" ht="15.75" customHeight="1">
      <c r="A62" s="3" t="s">
        <v>87</v>
      </c>
      <c r="B62" s="4"/>
      <c r="C62" s="55" t="s">
        <v>23</v>
      </c>
      <c r="D62" s="4"/>
    </row>
    <row r="63" ht="15.75" customHeight="1">
      <c r="A63" s="19" t="s">
        <v>88</v>
      </c>
      <c r="B63" s="108">
        <v>44166.0</v>
      </c>
      <c r="C63" s="89" t="s">
        <v>89</v>
      </c>
      <c r="D63" s="74" t="s">
        <v>90</v>
      </c>
    </row>
    <row r="64" ht="15.75" customHeight="1">
      <c r="A64" s="19" t="s">
        <v>91</v>
      </c>
      <c r="B64" s="109">
        <v>44183.0</v>
      </c>
      <c r="C64" s="93" t="s">
        <v>8</v>
      </c>
    </row>
    <row r="65" ht="15.75" customHeight="1">
      <c r="A65" s="19" t="s">
        <v>444</v>
      </c>
      <c r="B65" s="64">
        <v>44181.0</v>
      </c>
      <c r="C65" s="61" t="s">
        <v>445</v>
      </c>
    </row>
    <row r="66" ht="15.75" customHeight="1">
      <c r="A66" s="19" t="s">
        <v>93</v>
      </c>
      <c r="B66" s="64">
        <v>44183.0</v>
      </c>
      <c r="C66" s="93" t="s">
        <v>8</v>
      </c>
    </row>
    <row r="67" ht="15.75" customHeight="1">
      <c r="A67" s="6" t="s">
        <v>446</v>
      </c>
      <c r="B67" s="64">
        <v>44183.0</v>
      </c>
      <c r="C67" s="93" t="s">
        <v>8</v>
      </c>
      <c r="D67" s="6" t="s">
        <v>447</v>
      </c>
    </row>
    <row r="68" ht="15.75" customHeight="1">
      <c r="A68" s="10" t="s">
        <v>98</v>
      </c>
      <c r="B68" s="4"/>
      <c r="C68" s="5"/>
      <c r="D68" s="4"/>
    </row>
    <row r="69" ht="15.75" customHeight="1">
      <c r="A69" s="19" t="s">
        <v>448</v>
      </c>
      <c r="B69" s="6" t="s">
        <v>262</v>
      </c>
      <c r="C69" s="19" t="s">
        <v>8</v>
      </c>
    </row>
    <row r="70" ht="15.75" customHeight="1">
      <c r="A70" s="19" t="s">
        <v>101</v>
      </c>
      <c r="B70" s="6" t="s">
        <v>262</v>
      </c>
      <c r="C70" s="19" t="s">
        <v>8</v>
      </c>
    </row>
    <row r="71" ht="15.75" customHeight="1">
      <c r="A71" s="19" t="s">
        <v>263</v>
      </c>
      <c r="B71" s="6" t="s">
        <v>262</v>
      </c>
      <c r="C71" s="19" t="s">
        <v>8</v>
      </c>
    </row>
    <row r="72" ht="15.75" customHeight="1">
      <c r="A72" s="19" t="s">
        <v>266</v>
      </c>
      <c r="B72" s="6" t="s">
        <v>449</v>
      </c>
      <c r="C72" s="19" t="s">
        <v>8</v>
      </c>
    </row>
    <row r="73" ht="15.75" customHeight="1">
      <c r="A73" s="19" t="s">
        <v>268</v>
      </c>
      <c r="B73" s="6" t="s">
        <v>450</v>
      </c>
      <c r="C73" s="19" t="s">
        <v>8</v>
      </c>
    </row>
    <row r="74" ht="15.75" customHeight="1">
      <c r="A74" s="19" t="s">
        <v>103</v>
      </c>
      <c r="B74" s="6" t="s">
        <v>270</v>
      </c>
      <c r="C74" s="19" t="s">
        <v>8</v>
      </c>
    </row>
    <row r="75" ht="15.75" customHeight="1">
      <c r="A75" s="19" t="s">
        <v>105</v>
      </c>
      <c r="B75" s="6" t="s">
        <v>262</v>
      </c>
      <c r="C75" s="19" t="s">
        <v>8</v>
      </c>
    </row>
    <row r="76" ht="15.75" customHeight="1">
      <c r="A76" s="61" t="s">
        <v>107</v>
      </c>
      <c r="B76" s="6"/>
      <c r="C76" s="19"/>
    </row>
    <row r="77" ht="15.75" customHeight="1">
      <c r="A77" s="13" t="s">
        <v>273</v>
      </c>
      <c r="B77" s="6" t="s">
        <v>355</v>
      </c>
      <c r="C77" s="19" t="s">
        <v>8</v>
      </c>
    </row>
    <row r="78" ht="15.75" customHeight="1">
      <c r="A78" s="13" t="s">
        <v>274</v>
      </c>
      <c r="B78" s="6" t="s">
        <v>355</v>
      </c>
      <c r="C78" s="19" t="s">
        <v>8</v>
      </c>
      <c r="D78" s="6" t="s">
        <v>275</v>
      </c>
    </row>
    <row r="79" ht="15.75" customHeight="1">
      <c r="A79" s="13" t="s">
        <v>451</v>
      </c>
      <c r="B79" s="6" t="s">
        <v>355</v>
      </c>
      <c r="C79" s="19" t="s">
        <v>8</v>
      </c>
      <c r="D79" s="6"/>
    </row>
    <row r="80" ht="15.75" customHeight="1">
      <c r="A80" s="13" t="s">
        <v>111</v>
      </c>
      <c r="B80" s="6" t="s">
        <v>355</v>
      </c>
      <c r="C80" s="19" t="s">
        <v>8</v>
      </c>
      <c r="D80" s="6"/>
    </row>
    <row r="81" ht="15.75" customHeight="1">
      <c r="A81" s="13" t="s">
        <v>452</v>
      </c>
      <c r="B81" s="6" t="s">
        <v>449</v>
      </c>
      <c r="C81" s="19" t="s">
        <v>23</v>
      </c>
      <c r="D81" s="6"/>
    </row>
    <row r="82" ht="15.75" customHeight="1">
      <c r="A82" s="13" t="s">
        <v>113</v>
      </c>
      <c r="B82" s="6" t="s">
        <v>355</v>
      </c>
      <c r="C82" s="19" t="s">
        <v>8</v>
      </c>
      <c r="D82" s="6" t="s">
        <v>115</v>
      </c>
    </row>
    <row r="83" ht="15.75" customHeight="1">
      <c r="A83" s="13" t="s">
        <v>453</v>
      </c>
      <c r="B83" s="6" t="s">
        <v>301</v>
      </c>
      <c r="C83" s="19" t="s">
        <v>23</v>
      </c>
      <c r="D83" s="6"/>
    </row>
    <row r="84" ht="15.75" customHeight="1">
      <c r="A84" s="13" t="s">
        <v>454</v>
      </c>
      <c r="B84" s="6" t="s">
        <v>355</v>
      </c>
      <c r="C84" s="19" t="s">
        <v>8</v>
      </c>
      <c r="D84" s="6"/>
    </row>
    <row r="85" ht="15.75" customHeight="1">
      <c r="A85" s="13" t="s">
        <v>455</v>
      </c>
      <c r="B85" s="6" t="s">
        <v>449</v>
      </c>
      <c r="C85" s="19" t="s">
        <v>23</v>
      </c>
      <c r="D85" s="6"/>
    </row>
    <row r="86" ht="15.75" customHeight="1">
      <c r="A86" s="13" t="s">
        <v>456</v>
      </c>
      <c r="B86" s="6" t="s">
        <v>417</v>
      </c>
      <c r="C86" s="19" t="s">
        <v>8</v>
      </c>
      <c r="D86" s="6"/>
    </row>
    <row r="87" ht="15.75" customHeight="1">
      <c r="A87" s="10" t="s">
        <v>118</v>
      </c>
      <c r="B87" s="62"/>
      <c r="C87" s="5"/>
      <c r="D87" s="4"/>
    </row>
    <row r="88" ht="15.75" customHeight="1">
      <c r="A88" s="110" t="s">
        <v>296</v>
      </c>
      <c r="B88" s="64">
        <v>44176.0</v>
      </c>
      <c r="C88" s="19" t="s">
        <v>120</v>
      </c>
      <c r="D88" s="6" t="s">
        <v>457</v>
      </c>
    </row>
    <row r="89" ht="15.75" customHeight="1">
      <c r="A89" s="95" t="s">
        <v>119</v>
      </c>
      <c r="B89" s="64">
        <v>44179.0</v>
      </c>
      <c r="C89" s="19" t="s">
        <v>136</v>
      </c>
      <c r="D89" s="65" t="s">
        <v>121</v>
      </c>
    </row>
    <row r="90" ht="15.75" customHeight="1">
      <c r="A90" s="66" t="s">
        <v>458</v>
      </c>
      <c r="B90" s="64">
        <v>44179.0</v>
      </c>
      <c r="C90" s="19" t="s">
        <v>120</v>
      </c>
    </row>
    <row r="91" ht="15.75" customHeight="1">
      <c r="A91" s="96" t="s">
        <v>128</v>
      </c>
      <c r="B91" s="64">
        <v>44179.0</v>
      </c>
      <c r="C91" s="19" t="s">
        <v>129</v>
      </c>
      <c r="D91" s="6" t="s">
        <v>130</v>
      </c>
    </row>
    <row r="92" ht="15.75" customHeight="1">
      <c r="A92" s="66" t="s">
        <v>459</v>
      </c>
      <c r="B92" s="64">
        <v>44180.0</v>
      </c>
      <c r="C92" s="19" t="s">
        <v>120</v>
      </c>
    </row>
    <row r="93" ht="15.75" customHeight="1">
      <c r="A93" s="66" t="s">
        <v>460</v>
      </c>
      <c r="B93" s="64">
        <v>44180.0</v>
      </c>
      <c r="C93" s="6" t="s">
        <v>120</v>
      </c>
      <c r="D93" s="6" t="s">
        <v>461</v>
      </c>
    </row>
    <row r="94" ht="15.75" customHeight="1">
      <c r="A94" s="96" t="s">
        <v>122</v>
      </c>
      <c r="B94" s="64">
        <v>44180.0</v>
      </c>
      <c r="C94" s="19" t="s">
        <v>129</v>
      </c>
      <c r="D94" s="6" t="s">
        <v>462</v>
      </c>
    </row>
    <row r="95" ht="15.75" customHeight="1">
      <c r="A95" s="13" t="s">
        <v>131</v>
      </c>
      <c r="B95" s="64">
        <v>44181.0</v>
      </c>
      <c r="C95" s="19"/>
    </row>
    <row r="96" ht="15.75" customHeight="1">
      <c r="A96" s="13" t="s">
        <v>126</v>
      </c>
      <c r="B96" s="64">
        <v>44182.0</v>
      </c>
      <c r="C96" s="19" t="s">
        <v>129</v>
      </c>
      <c r="D96" s="6" t="s">
        <v>127</v>
      </c>
    </row>
    <row r="97" ht="15.75" customHeight="1">
      <c r="A97" s="13" t="s">
        <v>125</v>
      </c>
      <c r="B97" s="64">
        <v>44182.0</v>
      </c>
      <c r="C97" s="6"/>
      <c r="D97" s="6"/>
    </row>
    <row r="98" ht="15.75" customHeight="1">
      <c r="A98" s="66" t="s">
        <v>463</v>
      </c>
      <c r="B98" s="64">
        <v>44182.0</v>
      </c>
      <c r="C98" s="6" t="s">
        <v>120</v>
      </c>
      <c r="D98" s="6"/>
    </row>
    <row r="99" ht="15.75" customHeight="1">
      <c r="A99" s="66" t="s">
        <v>123</v>
      </c>
      <c r="B99" s="64">
        <v>44183.0</v>
      </c>
      <c r="C99" s="6" t="s">
        <v>120</v>
      </c>
      <c r="D99" s="6"/>
    </row>
    <row r="100" ht="15.75" customHeight="1">
      <c r="A100" s="67" t="s">
        <v>135</v>
      </c>
      <c r="B100" s="64">
        <v>44186.0</v>
      </c>
      <c r="C100" s="19" t="s">
        <v>136</v>
      </c>
      <c r="D100" s="6" t="s">
        <v>137</v>
      </c>
    </row>
    <row r="101" ht="15.75" customHeight="1">
      <c r="A101" s="19" t="s">
        <v>138</v>
      </c>
      <c r="C101" s="19"/>
      <c r="D101" s="6"/>
    </row>
    <row r="102" ht="15.75" customHeight="1">
      <c r="A102" s="19" t="s">
        <v>139</v>
      </c>
      <c r="C102" s="19"/>
      <c r="D102" s="6"/>
    </row>
    <row r="103" ht="15.75" customHeight="1">
      <c r="A103" s="19" t="s">
        <v>140</v>
      </c>
      <c r="C103" s="19"/>
    </row>
    <row r="104" ht="15.75" customHeight="1">
      <c r="A104" s="19" t="s">
        <v>141</v>
      </c>
      <c r="C104" s="19"/>
    </row>
    <row r="105" ht="15.75" customHeight="1">
      <c r="A105" s="19" t="s">
        <v>142</v>
      </c>
      <c r="B105" s="6"/>
      <c r="C105" s="19"/>
    </row>
    <row r="106" ht="15.75" customHeight="1">
      <c r="A106" s="3" t="s">
        <v>143</v>
      </c>
      <c r="B106" s="4"/>
      <c r="C106" s="5"/>
      <c r="D106" s="4"/>
    </row>
    <row r="107" ht="15.75" customHeight="1">
      <c r="A107" s="19" t="s">
        <v>300</v>
      </c>
      <c r="B107" s="6" t="s">
        <v>272</v>
      </c>
      <c r="C107" s="19" t="s">
        <v>8</v>
      </c>
    </row>
    <row r="108" ht="15.75" customHeight="1">
      <c r="A108" s="19" t="s">
        <v>144</v>
      </c>
      <c r="B108" s="6" t="s">
        <v>301</v>
      </c>
      <c r="C108" s="19"/>
    </row>
    <row r="109" ht="15.75" customHeight="1">
      <c r="A109" s="19" t="s">
        <v>302</v>
      </c>
      <c r="B109" s="6" t="s">
        <v>303</v>
      </c>
      <c r="C109" s="19"/>
    </row>
    <row r="110" ht="15.75" customHeight="1">
      <c r="A110" s="19" t="s">
        <v>145</v>
      </c>
      <c r="B110" s="6" t="s">
        <v>303</v>
      </c>
      <c r="C110" s="19"/>
    </row>
    <row r="111" ht="15.75" customHeight="1">
      <c r="A111" s="19" t="s">
        <v>304</v>
      </c>
      <c r="B111" s="6" t="s">
        <v>303</v>
      </c>
      <c r="C111" s="19"/>
    </row>
    <row r="112" ht="15.75" customHeight="1">
      <c r="A112" s="89" t="s">
        <v>311</v>
      </c>
      <c r="B112" s="98">
        <v>44181.0</v>
      </c>
      <c r="C112" s="89" t="s">
        <v>23</v>
      </c>
      <c r="D112" s="99" t="s">
        <v>464</v>
      </c>
    </row>
    <row r="113" ht="15.75" customHeight="1">
      <c r="A113" s="89" t="s">
        <v>465</v>
      </c>
      <c r="B113" s="98">
        <v>44183.0</v>
      </c>
      <c r="C113" s="89" t="s">
        <v>23</v>
      </c>
      <c r="D113" s="99" t="s">
        <v>466</v>
      </c>
    </row>
    <row r="114" ht="15.75" customHeight="1">
      <c r="A114" s="89" t="s">
        <v>467</v>
      </c>
      <c r="B114" s="98">
        <v>44180.0</v>
      </c>
      <c r="C114" s="89" t="s">
        <v>8</v>
      </c>
      <c r="D114" s="99" t="s">
        <v>468</v>
      </c>
    </row>
    <row r="115" ht="15.75" customHeight="1">
      <c r="A115" s="89" t="s">
        <v>469</v>
      </c>
      <c r="B115" s="98">
        <v>44149.0</v>
      </c>
      <c r="C115" s="89" t="s">
        <v>23</v>
      </c>
      <c r="D115" s="99" t="s">
        <v>470</v>
      </c>
    </row>
    <row r="116" ht="15.75" customHeight="1">
      <c r="A116" s="89" t="s">
        <v>471</v>
      </c>
      <c r="B116" s="98">
        <v>44180.0</v>
      </c>
      <c r="C116" s="89" t="s">
        <v>23</v>
      </c>
      <c r="D116" s="99" t="s">
        <v>472</v>
      </c>
    </row>
    <row r="117" ht="15.75" customHeight="1">
      <c r="A117" s="89" t="s">
        <v>473</v>
      </c>
      <c r="B117" s="98">
        <v>44182.0</v>
      </c>
      <c r="C117" s="89" t="s">
        <v>23</v>
      </c>
      <c r="D117" s="99"/>
    </row>
    <row r="118" ht="15.75" customHeight="1">
      <c r="A118" s="89" t="s">
        <v>474</v>
      </c>
      <c r="B118" s="98">
        <v>44183.0</v>
      </c>
      <c r="C118" s="89" t="s">
        <v>23</v>
      </c>
      <c r="D118" s="99" t="s">
        <v>475</v>
      </c>
    </row>
    <row r="119" ht="15.75" customHeight="1">
      <c r="A119" s="10" t="s">
        <v>147</v>
      </c>
      <c r="B119" s="4"/>
      <c r="C119" s="5"/>
      <c r="D119" s="4"/>
    </row>
    <row r="120" ht="15.75" customHeight="1">
      <c r="A120" s="19" t="s">
        <v>148</v>
      </c>
      <c r="B120" s="68">
        <v>44196.0</v>
      </c>
      <c r="C120" s="19" t="s">
        <v>8</v>
      </c>
      <c r="D120" s="6" t="s">
        <v>150</v>
      </c>
    </row>
    <row r="121" ht="15.75" customHeight="1">
      <c r="A121" s="19" t="s">
        <v>151</v>
      </c>
      <c r="B121" s="68">
        <v>44177.0</v>
      </c>
      <c r="C121" s="19" t="s">
        <v>152</v>
      </c>
      <c r="D121" s="6" t="s">
        <v>153</v>
      </c>
    </row>
    <row r="122" ht="15.75" customHeight="1">
      <c r="A122" s="19" t="s">
        <v>154</v>
      </c>
      <c r="B122" s="68">
        <v>44196.0</v>
      </c>
      <c r="C122" s="19" t="s">
        <v>8</v>
      </c>
    </row>
    <row r="123" ht="15.75" customHeight="1">
      <c r="A123" s="19" t="s">
        <v>156</v>
      </c>
      <c r="B123" s="68">
        <v>44196.0</v>
      </c>
      <c r="C123" s="19" t="s">
        <v>8</v>
      </c>
    </row>
    <row r="124" ht="15.75" customHeight="1">
      <c r="A124" s="19" t="s">
        <v>158</v>
      </c>
      <c r="B124" s="68">
        <v>44196.0</v>
      </c>
      <c r="C124" s="19" t="s">
        <v>152</v>
      </c>
    </row>
    <row r="125" ht="15.75" customHeight="1">
      <c r="A125" s="19" t="s">
        <v>159</v>
      </c>
      <c r="B125" s="68">
        <v>44180.0</v>
      </c>
      <c r="C125" s="19" t="s">
        <v>152</v>
      </c>
    </row>
    <row r="126" ht="15.75" customHeight="1">
      <c r="A126" s="19" t="s">
        <v>160</v>
      </c>
      <c r="B126" s="68">
        <v>44196.0</v>
      </c>
      <c r="C126" s="19" t="s">
        <v>335</v>
      </c>
    </row>
    <row r="127" ht="15.75" customHeight="1">
      <c r="A127" s="19" t="s">
        <v>162</v>
      </c>
      <c r="B127" s="68">
        <v>44196.0</v>
      </c>
      <c r="C127" s="19" t="s">
        <v>152</v>
      </c>
    </row>
    <row r="128" ht="15.75" customHeight="1">
      <c r="A128" s="19" t="s">
        <v>164</v>
      </c>
      <c r="B128" s="68">
        <v>44177.0</v>
      </c>
      <c r="C128" s="19" t="s">
        <v>152</v>
      </c>
    </row>
    <row r="129" ht="15.75" customHeight="1">
      <c r="A129" s="19" t="s">
        <v>476</v>
      </c>
      <c r="B129" s="68">
        <v>44175.0</v>
      </c>
      <c r="C129" s="19" t="s">
        <v>23</v>
      </c>
      <c r="D129" s="6" t="s">
        <v>477</v>
      </c>
    </row>
    <row r="130" ht="15.75" customHeight="1">
      <c r="A130" s="19" t="s">
        <v>165</v>
      </c>
      <c r="B130" s="68">
        <v>44196.0</v>
      </c>
      <c r="C130" s="19" t="s">
        <v>152</v>
      </c>
    </row>
    <row r="131" ht="15.75" customHeight="1">
      <c r="A131" s="19"/>
      <c r="C131" s="19"/>
    </row>
    <row r="132" ht="15.75" customHeight="1">
      <c r="A132" s="19"/>
      <c r="C132" s="19"/>
    </row>
    <row r="133" ht="15.75" customHeight="1">
      <c r="A133" s="19"/>
      <c r="C133" s="19"/>
    </row>
    <row r="134" ht="15.75" customHeight="1">
      <c r="A134" s="19"/>
      <c r="C134" s="19"/>
    </row>
    <row r="135" ht="15.75" customHeight="1">
      <c r="A135" s="19"/>
      <c r="C135" s="19"/>
    </row>
    <row r="136" ht="15.75" customHeight="1">
      <c r="A136" s="19"/>
      <c r="C136" s="19"/>
    </row>
    <row r="137" ht="15.75" customHeight="1">
      <c r="A137" s="19"/>
      <c r="C137" s="19"/>
    </row>
    <row r="138" ht="15.75" customHeight="1">
      <c r="A138" s="19"/>
      <c r="C138" s="19"/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21">
    <cfRule type="notContainsBlanks" dxfId="0" priority="1">
      <formula>LEN(TRIM(A121))&gt;0</formula>
    </cfRule>
  </conditionalFormatting>
  <hyperlinks>
    <hyperlink r:id="rId1" ref="A25"/>
    <hyperlink r:id="rId2" ref="A88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2.0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11" t="s">
        <v>0</v>
      </c>
      <c r="B1" s="112" t="s">
        <v>1</v>
      </c>
      <c r="C1" s="111" t="s">
        <v>2</v>
      </c>
      <c r="D1" s="112" t="s">
        <v>3</v>
      </c>
    </row>
    <row r="2" ht="15.75" customHeight="1">
      <c r="A2" s="113" t="s">
        <v>478</v>
      </c>
      <c r="B2" s="114"/>
      <c r="C2" s="115"/>
      <c r="D2" s="114"/>
    </row>
    <row r="3" ht="15.75" customHeight="1">
      <c r="A3" s="19" t="s">
        <v>338</v>
      </c>
      <c r="B3" s="26"/>
      <c r="C3" s="116" t="s">
        <v>339</v>
      </c>
      <c r="D3" s="6" t="s">
        <v>340</v>
      </c>
    </row>
    <row r="4" ht="15.75" customHeight="1">
      <c r="A4" s="6" t="s">
        <v>341</v>
      </c>
      <c r="B4" s="7"/>
      <c r="C4" s="116" t="s">
        <v>339</v>
      </c>
      <c r="D4" s="6" t="s">
        <v>340</v>
      </c>
    </row>
    <row r="5" ht="15.75" customHeight="1">
      <c r="A5" s="6" t="s">
        <v>342</v>
      </c>
      <c r="B5" s="7"/>
      <c r="C5" s="116" t="s">
        <v>339</v>
      </c>
    </row>
    <row r="6" ht="15.75" customHeight="1">
      <c r="A6" s="6" t="s">
        <v>343</v>
      </c>
      <c r="B6" s="7"/>
      <c r="C6" s="9"/>
      <c r="D6" s="6" t="s">
        <v>479</v>
      </c>
    </row>
    <row r="7" ht="15.75" customHeight="1">
      <c r="A7" s="6" t="s">
        <v>5</v>
      </c>
      <c r="B7" s="7"/>
      <c r="C7" s="9" t="s">
        <v>8</v>
      </c>
    </row>
    <row r="8" ht="15.75" customHeight="1">
      <c r="A8" s="6" t="s">
        <v>345</v>
      </c>
      <c r="B8" s="101">
        <v>44216.0</v>
      </c>
      <c r="C8" s="9" t="s">
        <v>8</v>
      </c>
    </row>
    <row r="9" ht="15.75" customHeight="1">
      <c r="A9" s="117" t="s">
        <v>80</v>
      </c>
      <c r="B9" s="118"/>
      <c r="C9" s="119"/>
      <c r="D9" s="114"/>
    </row>
    <row r="10" ht="15.75" customHeight="1">
      <c r="A10" s="13" t="s">
        <v>480</v>
      </c>
      <c r="B10" s="101">
        <v>44218.0</v>
      </c>
      <c r="C10" s="9" t="s">
        <v>8</v>
      </c>
      <c r="D10" s="6" t="s">
        <v>481</v>
      </c>
    </row>
    <row r="11" ht="15.75" customHeight="1">
      <c r="A11" s="13" t="s">
        <v>482</v>
      </c>
      <c r="B11" s="101">
        <v>44214.0</v>
      </c>
      <c r="C11" s="116" t="s">
        <v>75</v>
      </c>
    </row>
    <row r="12" ht="15.75" customHeight="1">
      <c r="A12" s="13" t="s">
        <v>483</v>
      </c>
      <c r="B12" s="101">
        <v>44214.0</v>
      </c>
      <c r="C12" s="116" t="s">
        <v>75</v>
      </c>
    </row>
    <row r="13" ht="15.75" customHeight="1">
      <c r="A13" s="13" t="s">
        <v>484</v>
      </c>
      <c r="B13" s="101">
        <v>44218.0</v>
      </c>
      <c r="C13" s="116" t="s">
        <v>75</v>
      </c>
    </row>
    <row r="14" ht="15.75" customHeight="1">
      <c r="A14" s="13" t="s">
        <v>485</v>
      </c>
      <c r="B14" s="101">
        <v>44218.0</v>
      </c>
      <c r="C14" s="116" t="s">
        <v>75</v>
      </c>
    </row>
    <row r="15" ht="15.75" customHeight="1">
      <c r="A15" s="13" t="s">
        <v>486</v>
      </c>
      <c r="B15" s="101">
        <v>44218.0</v>
      </c>
      <c r="C15" s="9" t="s">
        <v>8</v>
      </c>
    </row>
    <row r="16" ht="15.75" customHeight="1">
      <c r="A16" s="113" t="s">
        <v>39</v>
      </c>
      <c r="B16" s="114"/>
      <c r="C16" s="115"/>
      <c r="D16" s="114"/>
    </row>
    <row r="17" ht="15.75" customHeight="1">
      <c r="A17" s="32" t="s">
        <v>40</v>
      </c>
      <c r="B17" s="29">
        <v>44218.0</v>
      </c>
      <c r="C17" s="16" t="s">
        <v>8</v>
      </c>
      <c r="D17" s="33" t="s">
        <v>41</v>
      </c>
      <c r="E17" s="27"/>
    </row>
    <row r="18" ht="15.75" customHeight="1">
      <c r="A18" s="32" t="s">
        <v>44</v>
      </c>
      <c r="B18" s="71">
        <v>44218.0</v>
      </c>
      <c r="C18" s="36"/>
      <c r="D18" s="37" t="s">
        <v>45</v>
      </c>
      <c r="E18" s="27"/>
    </row>
    <row r="19" ht="15.75" customHeight="1">
      <c r="A19" s="35" t="s">
        <v>48</v>
      </c>
      <c r="B19" s="44">
        <v>44218.0</v>
      </c>
      <c r="C19" s="36"/>
      <c r="D19" s="45" t="s">
        <v>49</v>
      </c>
      <c r="E19" s="27"/>
    </row>
    <row r="20" ht="15.75" customHeight="1">
      <c r="A20" s="46" t="s">
        <v>53</v>
      </c>
      <c r="B20" s="47">
        <v>44218.0</v>
      </c>
      <c r="C20" s="48" t="s">
        <v>8</v>
      </c>
      <c r="D20" s="49" t="s">
        <v>54</v>
      </c>
      <c r="E20" s="27"/>
    </row>
    <row r="21" ht="15.75" customHeight="1">
      <c r="A21" s="35" t="s">
        <v>55</v>
      </c>
      <c r="B21" s="44">
        <v>44218.0</v>
      </c>
      <c r="C21" s="36"/>
      <c r="D21" s="45" t="s">
        <v>56</v>
      </c>
      <c r="E21" s="27"/>
    </row>
    <row r="22" ht="15.75" customHeight="1">
      <c r="A22" s="35" t="s">
        <v>57</v>
      </c>
      <c r="B22" s="44">
        <v>44218.0</v>
      </c>
      <c r="C22" s="36"/>
      <c r="D22" s="45" t="s">
        <v>58</v>
      </c>
      <c r="E22" s="27"/>
    </row>
    <row r="23" ht="15.75" customHeight="1">
      <c r="A23" s="35" t="s">
        <v>59</v>
      </c>
      <c r="B23" s="44">
        <v>44218.0</v>
      </c>
      <c r="C23" s="36"/>
      <c r="D23" s="45" t="s">
        <v>60</v>
      </c>
      <c r="E23" s="27"/>
    </row>
    <row r="24" ht="15.75" customHeight="1">
      <c r="A24" s="35" t="s">
        <v>61</v>
      </c>
      <c r="B24" s="44">
        <v>44218.0</v>
      </c>
      <c r="D24" s="45" t="s">
        <v>62</v>
      </c>
      <c r="E24" s="27"/>
    </row>
    <row r="25" ht="15.75" customHeight="1">
      <c r="A25" s="35" t="s">
        <v>67</v>
      </c>
      <c r="B25" s="44">
        <v>44218.0</v>
      </c>
      <c r="C25" s="36" t="s">
        <v>8</v>
      </c>
      <c r="D25" s="45"/>
      <c r="E25" s="27"/>
    </row>
    <row r="26" ht="15.75" customHeight="1">
      <c r="A26" s="35" t="s">
        <v>70</v>
      </c>
      <c r="B26" s="44">
        <v>44218.0</v>
      </c>
      <c r="C26" s="36"/>
      <c r="D26" s="45" t="s">
        <v>71</v>
      </c>
      <c r="E26" s="27"/>
    </row>
    <row r="27" ht="15.75" customHeight="1">
      <c r="A27" s="35" t="s">
        <v>77</v>
      </c>
      <c r="B27" s="44">
        <v>44218.0</v>
      </c>
      <c r="C27" s="36"/>
      <c r="D27" s="45" t="s">
        <v>78</v>
      </c>
      <c r="E27" s="27"/>
    </row>
    <row r="28" ht="15.75" customHeight="1">
      <c r="A28" s="32" t="s">
        <v>487</v>
      </c>
      <c r="B28" s="120">
        <v>44218.0</v>
      </c>
      <c r="C28" s="16"/>
      <c r="D28" s="33"/>
      <c r="E28" s="27"/>
    </row>
    <row r="29" ht="15.75" customHeight="1">
      <c r="A29" s="32" t="s">
        <v>488</v>
      </c>
      <c r="B29" s="120">
        <v>44218.0</v>
      </c>
      <c r="C29" s="16"/>
      <c r="D29" s="33" t="s">
        <v>489</v>
      </c>
      <c r="E29" s="27"/>
    </row>
    <row r="30" ht="15.75" customHeight="1">
      <c r="A30" s="32" t="s">
        <v>490</v>
      </c>
      <c r="B30" s="120">
        <v>44218.0</v>
      </c>
      <c r="C30" s="16"/>
      <c r="D30" s="33"/>
      <c r="E30" s="27"/>
    </row>
    <row r="31" ht="15.75" customHeight="1">
      <c r="A31" s="121" t="s">
        <v>491</v>
      </c>
      <c r="B31" s="122">
        <v>44218.0</v>
      </c>
      <c r="C31" s="123"/>
      <c r="D31" s="124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5.75" customHeight="1">
      <c r="A32" s="32" t="s">
        <v>492</v>
      </c>
      <c r="B32" s="120">
        <v>44218.0</v>
      </c>
      <c r="C32" s="16"/>
      <c r="D32" s="33"/>
      <c r="E32" s="27"/>
    </row>
    <row r="33" ht="15.75" customHeight="1">
      <c r="A33" s="32" t="s">
        <v>493</v>
      </c>
      <c r="B33" s="120">
        <v>44217.0</v>
      </c>
      <c r="C33" s="16"/>
      <c r="D33" s="33" t="s">
        <v>494</v>
      </c>
      <c r="E33" s="27"/>
    </row>
    <row r="34" ht="15.75" customHeight="1">
      <c r="A34" s="113" t="s">
        <v>87</v>
      </c>
      <c r="B34" s="125"/>
      <c r="C34" s="126"/>
      <c r="D34" s="114"/>
    </row>
    <row r="35" ht="15.75" customHeight="1">
      <c r="A35" s="13" t="s">
        <v>495</v>
      </c>
      <c r="B35" s="44">
        <v>44218.0</v>
      </c>
      <c r="C35" s="36" t="s">
        <v>8</v>
      </c>
      <c r="D35" s="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5.75" customHeight="1">
      <c r="A36" s="6" t="s">
        <v>496</v>
      </c>
      <c r="B36" s="101">
        <v>44230.0</v>
      </c>
      <c r="C36" s="36"/>
      <c r="D36" s="2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ht="16.5" customHeight="1">
      <c r="A37" s="6" t="s">
        <v>497</v>
      </c>
      <c r="B37" s="44">
        <v>44218.0</v>
      </c>
      <c r="C37" s="3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6" t="s">
        <v>498</v>
      </c>
      <c r="B38" s="44">
        <v>44221.0</v>
      </c>
      <c r="C38" s="36" t="s">
        <v>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6" t="s">
        <v>499</v>
      </c>
      <c r="B39" s="44">
        <v>44218.0</v>
      </c>
      <c r="C39" s="36" t="s">
        <v>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13" t="s">
        <v>500</v>
      </c>
      <c r="B40" s="44">
        <v>44218.0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127" t="s">
        <v>501</v>
      </c>
      <c r="B41" s="101">
        <v>44215.0</v>
      </c>
      <c r="C41" s="36" t="s">
        <v>75</v>
      </c>
      <c r="D41" s="6" t="s">
        <v>502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128" t="s">
        <v>503</v>
      </c>
      <c r="B42" s="44">
        <v>44216.0</v>
      </c>
      <c r="C42" s="36" t="s">
        <v>75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6.5" customHeight="1">
      <c r="A43" s="19" t="s">
        <v>504</v>
      </c>
      <c r="B43" s="44">
        <v>44225.0</v>
      </c>
      <c r="C43" s="36" t="s">
        <v>8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6.5" customHeight="1">
      <c r="A44" s="129" t="s">
        <v>505</v>
      </c>
      <c r="B44" s="101">
        <v>44230.0</v>
      </c>
      <c r="C44" s="36" t="s">
        <v>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5.75" customHeight="1">
      <c r="A45" s="130" t="s">
        <v>82</v>
      </c>
      <c r="B45" s="125"/>
      <c r="C45" s="114"/>
      <c r="D45" s="114"/>
    </row>
    <row r="46" ht="15.75" customHeight="1">
      <c r="A46" s="19" t="s">
        <v>506</v>
      </c>
      <c r="B46" s="56">
        <v>44218.0</v>
      </c>
      <c r="C46" s="19" t="s">
        <v>507</v>
      </c>
      <c r="D46" s="27" t="s">
        <v>508</v>
      </c>
    </row>
    <row r="47" ht="15.75" customHeight="1">
      <c r="A47" s="131" t="s">
        <v>509</v>
      </c>
      <c r="B47" s="56">
        <v>44218.0</v>
      </c>
      <c r="C47" s="9" t="s">
        <v>75</v>
      </c>
      <c r="D47" s="6" t="s">
        <v>510</v>
      </c>
    </row>
    <row r="48" ht="15.75" customHeight="1">
      <c r="A48" s="131" t="s">
        <v>511</v>
      </c>
      <c r="B48" s="56">
        <v>44218.0</v>
      </c>
      <c r="C48" s="9" t="s">
        <v>75</v>
      </c>
      <c r="D48" s="6" t="s">
        <v>512</v>
      </c>
    </row>
    <row r="49" ht="15.75" customHeight="1">
      <c r="A49" s="131" t="s">
        <v>513</v>
      </c>
      <c r="B49" s="56">
        <v>44218.0</v>
      </c>
      <c r="C49" s="9" t="s">
        <v>507</v>
      </c>
      <c r="D49" s="6" t="s">
        <v>514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5.75" customHeight="1">
      <c r="A50" s="131" t="s">
        <v>515</v>
      </c>
      <c r="B50" s="56">
        <v>44218.0</v>
      </c>
      <c r="C50" s="9" t="s">
        <v>516</v>
      </c>
      <c r="D50" s="6" t="s">
        <v>517</v>
      </c>
    </row>
    <row r="51" ht="15.75" customHeight="1">
      <c r="A51" s="131" t="s">
        <v>518</v>
      </c>
      <c r="B51" s="56">
        <v>44218.0</v>
      </c>
      <c r="C51" s="9" t="s">
        <v>75</v>
      </c>
      <c r="D51" s="6" t="s">
        <v>519</v>
      </c>
    </row>
    <row r="52" ht="15.75" customHeight="1">
      <c r="A52" s="131" t="s">
        <v>520</v>
      </c>
      <c r="B52" s="56">
        <v>44218.0</v>
      </c>
      <c r="C52" s="9" t="s">
        <v>75</v>
      </c>
      <c r="D52" s="6" t="s">
        <v>521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customHeight="1">
      <c r="A53" s="13" t="s">
        <v>522</v>
      </c>
      <c r="B53" s="101">
        <v>44218.0</v>
      </c>
      <c r="C53" s="9" t="s">
        <v>75</v>
      </c>
      <c r="D53" s="6" t="s">
        <v>523</v>
      </c>
    </row>
    <row r="54" ht="15.75" customHeight="1">
      <c r="A54" s="131" t="s">
        <v>524</v>
      </c>
      <c r="B54" s="132">
        <v>44218.0</v>
      </c>
      <c r="C54" s="133" t="s">
        <v>75</v>
      </c>
      <c r="D54" s="133" t="s">
        <v>525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30" t="s">
        <v>9</v>
      </c>
      <c r="B55" s="134"/>
      <c r="C55" s="114"/>
      <c r="D55" s="11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>
      <c r="A56" s="13" t="s">
        <v>10</v>
      </c>
      <c r="B56" s="7" t="s">
        <v>11</v>
      </c>
      <c r="C56" s="9" t="s">
        <v>8</v>
      </c>
      <c r="D56" s="6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customHeight="1">
      <c r="A57" s="13" t="s">
        <v>12</v>
      </c>
      <c r="B57" s="7" t="s">
        <v>11</v>
      </c>
      <c r="C57" s="9" t="s">
        <v>8</v>
      </c>
      <c r="D57" s="6"/>
    </row>
    <row r="58" ht="15.75" customHeight="1">
      <c r="A58" s="13" t="s">
        <v>13</v>
      </c>
      <c r="B58" s="7" t="s">
        <v>14</v>
      </c>
      <c r="C58" s="9" t="s">
        <v>8</v>
      </c>
      <c r="D58" s="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15.75" customHeight="1">
      <c r="A59" s="13" t="s">
        <v>15</v>
      </c>
      <c r="B59" s="7" t="s">
        <v>16</v>
      </c>
      <c r="C59" s="9" t="s">
        <v>8</v>
      </c>
      <c r="D59" s="27" t="s">
        <v>17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75" customHeight="1">
      <c r="A60" s="19" t="s">
        <v>18</v>
      </c>
      <c r="B60" s="7" t="s">
        <v>16</v>
      </c>
      <c r="C60" s="9" t="s">
        <v>8</v>
      </c>
      <c r="D60" s="6" t="s">
        <v>19</v>
      </c>
    </row>
    <row r="61" ht="15.75" customHeight="1">
      <c r="A61" s="19" t="s">
        <v>20</v>
      </c>
      <c r="B61" s="26" t="s">
        <v>16</v>
      </c>
      <c r="C61" s="9" t="s">
        <v>8</v>
      </c>
      <c r="D61" s="6" t="s">
        <v>21</v>
      </c>
    </row>
    <row r="62" ht="15.75" customHeight="1">
      <c r="A62" s="20" t="s">
        <v>526</v>
      </c>
      <c r="B62" s="103" t="s">
        <v>527</v>
      </c>
      <c r="C62" s="9" t="s">
        <v>23</v>
      </c>
      <c r="D62" s="27"/>
    </row>
    <row r="63" ht="15.75" customHeight="1">
      <c r="A63" s="19" t="s">
        <v>528</v>
      </c>
      <c r="B63" s="7" t="s">
        <v>376</v>
      </c>
      <c r="C63" s="9" t="s">
        <v>8</v>
      </c>
      <c r="D63" s="6"/>
    </row>
    <row r="64" ht="15.75" customHeight="1">
      <c r="A64" s="13" t="s">
        <v>529</v>
      </c>
      <c r="B64" s="7" t="s">
        <v>530</v>
      </c>
      <c r="C64" s="9" t="s">
        <v>8</v>
      </c>
      <c r="D64" s="135"/>
    </row>
    <row r="65" ht="15.75" customHeight="1">
      <c r="A65" s="20" t="s">
        <v>531</v>
      </c>
      <c r="B65" s="21">
        <v>44218.0</v>
      </c>
      <c r="C65" s="9" t="s">
        <v>23</v>
      </c>
      <c r="D65" s="135"/>
    </row>
    <row r="66" ht="15.75" customHeight="1">
      <c r="A66" s="20" t="s">
        <v>532</v>
      </c>
      <c r="B66" s="21">
        <v>44214.0</v>
      </c>
      <c r="C66" s="9" t="s">
        <v>23</v>
      </c>
      <c r="D66" s="135" t="s">
        <v>533</v>
      </c>
    </row>
    <row r="67" ht="15.75" customHeight="1">
      <c r="A67" s="20" t="s">
        <v>534</v>
      </c>
      <c r="B67" s="103">
        <v>44215.0</v>
      </c>
      <c r="C67" s="9" t="s">
        <v>23</v>
      </c>
      <c r="D67" s="27"/>
    </row>
    <row r="68" ht="15.75" customHeight="1">
      <c r="A68" s="13" t="s">
        <v>535</v>
      </c>
      <c r="B68" s="7" t="s">
        <v>536</v>
      </c>
      <c r="C68" s="9"/>
      <c r="D68" s="27"/>
    </row>
    <row r="69" ht="15.75" customHeight="1">
      <c r="A69" s="20" t="s">
        <v>537</v>
      </c>
      <c r="B69" s="22" t="s">
        <v>388</v>
      </c>
      <c r="C69" s="9" t="s">
        <v>23</v>
      </c>
      <c r="D69" s="27"/>
    </row>
    <row r="70" ht="15.75" customHeight="1">
      <c r="A70" s="20" t="s">
        <v>538</v>
      </c>
      <c r="B70" s="26"/>
      <c r="C70" s="9" t="s">
        <v>23</v>
      </c>
      <c r="D70" s="27" t="s">
        <v>539</v>
      </c>
    </row>
    <row r="71" ht="15.75" customHeight="1">
      <c r="A71" s="13" t="s">
        <v>540</v>
      </c>
      <c r="B71" s="26"/>
      <c r="C71" s="9"/>
      <c r="D71" s="6" t="s">
        <v>541</v>
      </c>
    </row>
    <row r="72" ht="15.75" customHeight="1">
      <c r="A72" s="20" t="s">
        <v>542</v>
      </c>
      <c r="B72" s="21">
        <v>44218.0</v>
      </c>
      <c r="C72" s="9" t="s">
        <v>23</v>
      </c>
      <c r="D72" s="135"/>
    </row>
    <row r="73" ht="15.75" customHeight="1">
      <c r="A73" s="136" t="s">
        <v>543</v>
      </c>
      <c r="B73" s="26"/>
      <c r="C73" s="9" t="s">
        <v>8</v>
      </c>
      <c r="D73" s="6"/>
    </row>
    <row r="74" ht="15.75" customHeight="1">
      <c r="A74" s="19" t="s">
        <v>544</v>
      </c>
      <c r="B74" s="26"/>
      <c r="C74" s="9" t="s">
        <v>8</v>
      </c>
      <c r="D74" s="6"/>
    </row>
    <row r="75" ht="15.75" customHeight="1">
      <c r="A75" s="13" t="s">
        <v>34</v>
      </c>
      <c r="B75" s="7"/>
      <c r="C75" s="9" t="s">
        <v>8</v>
      </c>
      <c r="D75" s="6" t="s">
        <v>35</v>
      </c>
    </row>
    <row r="76" ht="15.75" customHeight="1">
      <c r="A76" s="19" t="s">
        <v>36</v>
      </c>
      <c r="B76" s="26"/>
      <c r="C76" s="9" t="s">
        <v>8</v>
      </c>
      <c r="D76" s="6"/>
    </row>
    <row r="77" ht="15.75" customHeight="1">
      <c r="A77" s="137" t="s">
        <v>37</v>
      </c>
      <c r="B77" s="26"/>
      <c r="C77" s="9" t="s">
        <v>8</v>
      </c>
      <c r="D77" s="6" t="s">
        <v>545</v>
      </c>
    </row>
    <row r="78" ht="15.75" customHeight="1">
      <c r="A78" s="117" t="s">
        <v>98</v>
      </c>
      <c r="B78" s="114"/>
      <c r="C78" s="114"/>
      <c r="D78" s="114"/>
    </row>
    <row r="79" ht="15.75" customHeight="1">
      <c r="A79" s="19" t="s">
        <v>101</v>
      </c>
      <c r="B79" s="6" t="s">
        <v>377</v>
      </c>
      <c r="C79" s="19" t="s">
        <v>8</v>
      </c>
      <c r="D79" s="6"/>
    </row>
    <row r="80" ht="15.75" customHeight="1">
      <c r="A80" s="19" t="s">
        <v>263</v>
      </c>
      <c r="B80" s="6" t="s">
        <v>377</v>
      </c>
      <c r="C80" s="19" t="s">
        <v>8</v>
      </c>
      <c r="D80" s="6"/>
    </row>
    <row r="81" ht="15.75" customHeight="1">
      <c r="A81" s="19" t="s">
        <v>103</v>
      </c>
      <c r="B81" s="6" t="s">
        <v>377</v>
      </c>
      <c r="C81" s="19" t="s">
        <v>8</v>
      </c>
      <c r="D81" s="6"/>
    </row>
    <row r="82" ht="15.75" customHeight="1">
      <c r="A82" s="19" t="s">
        <v>105</v>
      </c>
      <c r="B82" s="27" t="s">
        <v>378</v>
      </c>
      <c r="C82" s="66" t="s">
        <v>546</v>
      </c>
      <c r="D82" s="6"/>
    </row>
    <row r="83" ht="15.75" customHeight="1">
      <c r="A83" s="13" t="s">
        <v>107</v>
      </c>
      <c r="B83" s="6"/>
      <c r="C83" s="19" t="s">
        <v>8</v>
      </c>
      <c r="D83" s="6"/>
    </row>
    <row r="84" ht="15.75" customHeight="1">
      <c r="A84" s="13" t="s">
        <v>274</v>
      </c>
      <c r="B84" s="6" t="s">
        <v>379</v>
      </c>
      <c r="C84" s="19" t="s">
        <v>8</v>
      </c>
      <c r="D84" s="6" t="s">
        <v>380</v>
      </c>
    </row>
    <row r="85" ht="15.75" customHeight="1">
      <c r="A85" s="13" t="s">
        <v>111</v>
      </c>
      <c r="B85" s="6" t="s">
        <v>376</v>
      </c>
      <c r="C85" s="19" t="s">
        <v>8</v>
      </c>
      <c r="D85" s="6" t="s">
        <v>547</v>
      </c>
    </row>
    <row r="86" ht="15.75" customHeight="1">
      <c r="A86" s="13" t="s">
        <v>113</v>
      </c>
      <c r="B86" s="6" t="s">
        <v>376</v>
      </c>
      <c r="C86" s="19" t="s">
        <v>8</v>
      </c>
      <c r="D86" s="6" t="s">
        <v>548</v>
      </c>
    </row>
    <row r="87" ht="15.75" customHeight="1">
      <c r="A87" s="13" t="s">
        <v>382</v>
      </c>
      <c r="B87" s="6" t="s">
        <v>376</v>
      </c>
      <c r="C87" s="19" t="s">
        <v>8</v>
      </c>
      <c r="D87" s="6" t="s">
        <v>549</v>
      </c>
    </row>
    <row r="88" ht="15.75" customHeight="1">
      <c r="A88" s="13" t="s">
        <v>550</v>
      </c>
      <c r="B88" s="6" t="s">
        <v>376</v>
      </c>
      <c r="C88" s="19" t="s">
        <v>8</v>
      </c>
      <c r="D88" s="6" t="s">
        <v>551</v>
      </c>
    </row>
    <row r="89" ht="15.75" customHeight="1">
      <c r="A89" s="13" t="s">
        <v>384</v>
      </c>
      <c r="B89" s="6" t="s">
        <v>552</v>
      </c>
      <c r="C89" s="19" t="s">
        <v>8</v>
      </c>
      <c r="D89" s="6" t="s">
        <v>553</v>
      </c>
    </row>
    <row r="90" ht="15.75" customHeight="1">
      <c r="A90" s="13" t="s">
        <v>386</v>
      </c>
      <c r="B90" s="6" t="s">
        <v>376</v>
      </c>
      <c r="C90" s="19" t="s">
        <v>8</v>
      </c>
      <c r="D90" s="6" t="s">
        <v>554</v>
      </c>
    </row>
    <row r="91" ht="15.75" customHeight="1">
      <c r="A91" s="13" t="s">
        <v>555</v>
      </c>
      <c r="B91" s="6" t="s">
        <v>376</v>
      </c>
      <c r="C91" s="19" t="s">
        <v>8</v>
      </c>
      <c r="D91" s="6" t="s">
        <v>556</v>
      </c>
    </row>
    <row r="92" ht="15.75" customHeight="1">
      <c r="A92" s="13" t="s">
        <v>557</v>
      </c>
      <c r="B92" s="6"/>
      <c r="C92" s="19" t="s">
        <v>51</v>
      </c>
      <c r="D92" s="6" t="s">
        <v>558</v>
      </c>
    </row>
    <row r="93" ht="15.75" customHeight="1">
      <c r="A93" s="13" t="s">
        <v>559</v>
      </c>
      <c r="B93" s="6"/>
      <c r="C93" s="19" t="s">
        <v>8</v>
      </c>
      <c r="D93" s="6"/>
    </row>
    <row r="94" ht="15.75" customHeight="1">
      <c r="A94" s="13" t="s">
        <v>560</v>
      </c>
      <c r="B94" s="6" t="s">
        <v>561</v>
      </c>
      <c r="C94" s="19" t="s">
        <v>8</v>
      </c>
      <c r="D94" s="6"/>
    </row>
    <row r="95" ht="15.75" customHeight="1">
      <c r="A95" s="138" t="s">
        <v>562</v>
      </c>
      <c r="B95" s="139" t="s">
        <v>388</v>
      </c>
      <c r="C95" s="96" t="s">
        <v>8</v>
      </c>
      <c r="D95" s="139"/>
    </row>
    <row r="96" ht="15.75" customHeight="1">
      <c r="A96" s="13" t="s">
        <v>389</v>
      </c>
      <c r="B96" s="140" t="s">
        <v>378</v>
      </c>
      <c r="C96" s="19" t="s">
        <v>8</v>
      </c>
      <c r="D96" s="6"/>
    </row>
    <row r="97" ht="15.75" customHeight="1">
      <c r="A97" s="19" t="s">
        <v>563</v>
      </c>
      <c r="B97" s="141" t="s">
        <v>378</v>
      </c>
      <c r="C97" s="66" t="s">
        <v>23</v>
      </c>
      <c r="D97" s="6"/>
    </row>
    <row r="98" ht="15.75" customHeight="1">
      <c r="A98" s="131" t="s">
        <v>564</v>
      </c>
      <c r="B98" s="64" t="s">
        <v>530</v>
      </c>
      <c r="C98" s="66" t="s">
        <v>23</v>
      </c>
      <c r="D98" s="6"/>
    </row>
    <row r="99" ht="15.75" customHeight="1">
      <c r="A99" s="117" t="s">
        <v>565</v>
      </c>
      <c r="B99" s="142"/>
      <c r="C99" s="114"/>
      <c r="D99" s="114"/>
    </row>
    <row r="100" ht="15.75" customHeight="1">
      <c r="A100" s="6" t="s">
        <v>390</v>
      </c>
      <c r="B100" s="143">
        <v>44214.0</v>
      </c>
      <c r="C100" s="66" t="s">
        <v>120</v>
      </c>
      <c r="D100" s="6"/>
    </row>
    <row r="101" ht="15.75" customHeight="1">
      <c r="A101" s="6" t="s">
        <v>391</v>
      </c>
      <c r="B101" s="143">
        <v>44216.0</v>
      </c>
      <c r="C101" s="66" t="s">
        <v>120</v>
      </c>
      <c r="D101" s="6"/>
    </row>
    <row r="102" ht="15.75" customHeight="1">
      <c r="A102" s="13" t="s">
        <v>566</v>
      </c>
      <c r="B102" s="143">
        <v>44216.0</v>
      </c>
      <c r="C102" s="66" t="s">
        <v>120</v>
      </c>
      <c r="D102" s="6" t="s">
        <v>567</v>
      </c>
    </row>
    <row r="103" ht="15.75" customHeight="1">
      <c r="A103" s="13" t="s">
        <v>568</v>
      </c>
      <c r="B103" s="143">
        <v>44217.0</v>
      </c>
      <c r="C103" s="66" t="s">
        <v>120</v>
      </c>
      <c r="D103" s="6" t="s">
        <v>569</v>
      </c>
    </row>
    <row r="104" ht="15.75" customHeight="1">
      <c r="A104" s="13" t="s">
        <v>135</v>
      </c>
      <c r="B104" s="143">
        <v>44218.0</v>
      </c>
      <c r="C104" s="66" t="s">
        <v>120</v>
      </c>
      <c r="D104" s="6"/>
    </row>
    <row r="105" ht="15.75" customHeight="1">
      <c r="A105" s="13" t="s">
        <v>570</v>
      </c>
      <c r="B105" s="143">
        <v>44218.0</v>
      </c>
      <c r="C105" s="67" t="s">
        <v>571</v>
      </c>
      <c r="D105" s="6"/>
    </row>
    <row r="106" ht="15.75" customHeight="1">
      <c r="A106" s="6" t="s">
        <v>572</v>
      </c>
      <c r="B106" s="143">
        <v>44217.0</v>
      </c>
      <c r="C106" s="66" t="s">
        <v>120</v>
      </c>
      <c r="D106" s="27"/>
    </row>
    <row r="107" ht="15.75" customHeight="1">
      <c r="A107" s="13" t="s">
        <v>573</v>
      </c>
      <c r="B107" s="143">
        <v>44218.0</v>
      </c>
      <c r="C107" s="144" t="s">
        <v>574</v>
      </c>
      <c r="D107" s="6"/>
    </row>
    <row r="108" ht="15.75" customHeight="1">
      <c r="A108" s="13" t="s">
        <v>575</v>
      </c>
      <c r="B108" s="143">
        <v>44218.0</v>
      </c>
      <c r="C108" s="96" t="s">
        <v>129</v>
      </c>
      <c r="D108" s="6"/>
    </row>
    <row r="109" ht="15.75" customHeight="1">
      <c r="A109" s="145" t="s">
        <v>576</v>
      </c>
      <c r="B109" s="146">
        <v>44221.0</v>
      </c>
      <c r="C109" s="147"/>
      <c r="D109" s="147"/>
    </row>
    <row r="110" ht="15.75" customHeight="1">
      <c r="A110" s="13" t="s">
        <v>577</v>
      </c>
      <c r="B110" s="143">
        <v>44221.0</v>
      </c>
      <c r="D110" s="6"/>
    </row>
    <row r="111" ht="15.75" customHeight="1">
      <c r="A111" s="13" t="s">
        <v>578</v>
      </c>
      <c r="B111" s="143">
        <v>44221.0</v>
      </c>
      <c r="D111" s="6"/>
    </row>
    <row r="112" ht="15.75" customHeight="1">
      <c r="A112" s="19" t="s">
        <v>579</v>
      </c>
      <c r="B112" s="143">
        <v>44222.0</v>
      </c>
      <c r="C112" s="6"/>
      <c r="D112" s="6"/>
    </row>
    <row r="113" ht="15.75" customHeight="1">
      <c r="A113" s="19" t="s">
        <v>580</v>
      </c>
      <c r="B113" s="143">
        <v>44222.0</v>
      </c>
      <c r="C113" s="6"/>
      <c r="D113" s="6" t="s">
        <v>581</v>
      </c>
    </row>
    <row r="114" ht="15.75" customHeight="1">
      <c r="A114" s="13" t="s">
        <v>582</v>
      </c>
      <c r="B114" s="143">
        <v>44225.0</v>
      </c>
      <c r="D114" s="6"/>
    </row>
    <row r="115" ht="15.75" customHeight="1">
      <c r="A115" s="19" t="s">
        <v>583</v>
      </c>
      <c r="B115" s="143">
        <v>44225.0</v>
      </c>
      <c r="C115" s="6"/>
      <c r="D115" s="6"/>
    </row>
    <row r="116" ht="15.75" customHeight="1">
      <c r="A116" s="19" t="s">
        <v>584</v>
      </c>
      <c r="B116" s="143">
        <v>44225.0</v>
      </c>
      <c r="C116" s="6"/>
      <c r="D116" s="6"/>
    </row>
    <row r="117" ht="15.75" customHeight="1">
      <c r="A117" s="13" t="s">
        <v>131</v>
      </c>
      <c r="B117" s="143"/>
      <c r="C117" s="19"/>
      <c r="D117" s="6"/>
    </row>
    <row r="118" ht="15.75" customHeight="1">
      <c r="A118" s="19" t="s">
        <v>139</v>
      </c>
      <c r="B118" s="6"/>
      <c r="C118" s="6"/>
      <c r="D118" s="6"/>
    </row>
    <row r="119" ht="15.75" customHeight="1">
      <c r="A119" s="19" t="s">
        <v>141</v>
      </c>
      <c r="B119" s="56"/>
      <c r="C119" s="6"/>
      <c r="D119" s="6"/>
    </row>
    <row r="120" ht="15.75" customHeight="1">
      <c r="A120" s="19" t="s">
        <v>142</v>
      </c>
      <c r="B120" s="56"/>
      <c r="C120" s="6"/>
      <c r="D120" s="6"/>
    </row>
    <row r="121" ht="15.75" customHeight="1">
      <c r="A121" s="130" t="s">
        <v>143</v>
      </c>
      <c r="B121" s="125"/>
      <c r="C121" s="114"/>
      <c r="D121" s="114"/>
    </row>
    <row r="122" ht="15.75" customHeight="1">
      <c r="A122" s="89" t="s">
        <v>585</v>
      </c>
      <c r="B122" s="148">
        <v>44215.0</v>
      </c>
      <c r="C122" s="89" t="s">
        <v>23</v>
      </c>
      <c r="D122" s="99"/>
    </row>
    <row r="123" ht="15.75" customHeight="1">
      <c r="A123" s="89" t="s">
        <v>586</v>
      </c>
      <c r="B123" s="148">
        <v>44218.0</v>
      </c>
      <c r="C123" s="89" t="s">
        <v>23</v>
      </c>
      <c r="D123" s="99"/>
    </row>
    <row r="124" ht="15.75" customHeight="1">
      <c r="A124" s="89" t="s">
        <v>587</v>
      </c>
      <c r="B124" s="148">
        <v>44218.0</v>
      </c>
      <c r="C124" s="99" t="s">
        <v>23</v>
      </c>
      <c r="D124" s="99"/>
    </row>
    <row r="125" ht="15.75" customHeight="1">
      <c r="A125" s="89" t="s">
        <v>588</v>
      </c>
      <c r="B125" s="149">
        <v>44215.0</v>
      </c>
      <c r="C125" s="89" t="s">
        <v>23</v>
      </c>
      <c r="D125" s="99" t="s">
        <v>589</v>
      </c>
    </row>
    <row r="126" ht="15.75" customHeight="1">
      <c r="A126" s="19" t="s">
        <v>590</v>
      </c>
      <c r="B126" s="150">
        <v>44222.0</v>
      </c>
      <c r="C126" s="19" t="s">
        <v>8</v>
      </c>
      <c r="D126" s="6"/>
    </row>
    <row r="127" ht="15.75" customHeight="1">
      <c r="A127" s="117" t="s">
        <v>147</v>
      </c>
      <c r="B127" s="151"/>
      <c r="C127" s="114"/>
      <c r="D127" s="114"/>
    </row>
    <row r="128" ht="15.75" customHeight="1">
      <c r="A128" s="19" t="s">
        <v>148</v>
      </c>
      <c r="B128" s="150">
        <v>44227.0</v>
      </c>
      <c r="C128" s="19" t="s">
        <v>8</v>
      </c>
      <c r="D128" s="6"/>
    </row>
    <row r="129" ht="15.75" customHeight="1">
      <c r="A129" s="66" t="s">
        <v>395</v>
      </c>
      <c r="B129" s="150">
        <v>44227.0</v>
      </c>
      <c r="C129" s="19" t="s">
        <v>8</v>
      </c>
      <c r="D129" s="6"/>
    </row>
    <row r="130" ht="15.75" customHeight="1">
      <c r="A130" s="19" t="s">
        <v>396</v>
      </c>
      <c r="B130" s="150">
        <v>44227.0</v>
      </c>
      <c r="C130" s="19" t="s">
        <v>8</v>
      </c>
      <c r="D130" s="6"/>
    </row>
    <row r="131" ht="15.75" customHeight="1">
      <c r="A131" s="19" t="s">
        <v>156</v>
      </c>
      <c r="B131" s="150">
        <v>44227.0</v>
      </c>
      <c r="C131" s="19" t="s">
        <v>8</v>
      </c>
      <c r="D131" s="6"/>
    </row>
    <row r="132" ht="15.75" customHeight="1">
      <c r="A132" s="19" t="s">
        <v>158</v>
      </c>
      <c r="B132" s="150">
        <v>44237.0</v>
      </c>
      <c r="C132" s="19" t="s">
        <v>8</v>
      </c>
      <c r="D132" s="6"/>
    </row>
    <row r="133" ht="15.75" customHeight="1">
      <c r="A133" s="19" t="s">
        <v>397</v>
      </c>
      <c r="B133" s="150">
        <v>44227.0</v>
      </c>
      <c r="C133" s="19" t="s">
        <v>8</v>
      </c>
      <c r="D133" s="6"/>
    </row>
    <row r="134" ht="15.75" customHeight="1">
      <c r="A134" s="19" t="s">
        <v>398</v>
      </c>
      <c r="B134" s="150">
        <v>44227.0</v>
      </c>
      <c r="C134" s="19" t="s">
        <v>152</v>
      </c>
      <c r="D134" s="6"/>
    </row>
    <row r="135" ht="15.75" customHeight="1">
      <c r="A135" s="19" t="s">
        <v>399</v>
      </c>
      <c r="B135" s="150">
        <v>44227.0</v>
      </c>
      <c r="C135" s="19" t="s">
        <v>8</v>
      </c>
      <c r="D135" s="6"/>
    </row>
    <row r="136" ht="15.75" customHeight="1">
      <c r="A136" s="19" t="s">
        <v>400</v>
      </c>
      <c r="B136" s="150">
        <v>44255.0</v>
      </c>
      <c r="C136" s="19" t="s">
        <v>8</v>
      </c>
      <c r="D136" s="6"/>
    </row>
    <row r="137" ht="15.75" customHeight="1">
      <c r="A137" s="19" t="s">
        <v>591</v>
      </c>
      <c r="B137" s="150">
        <v>44227.0</v>
      </c>
      <c r="C137" s="19" t="s">
        <v>152</v>
      </c>
      <c r="D137" s="6"/>
    </row>
    <row r="138" ht="15.75" customHeight="1">
      <c r="A138" s="19"/>
      <c r="C138" s="19"/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26">
    <cfRule type="notContainsBlanks" dxfId="0" priority="1">
      <formula>LEN(TRIM(A126))&gt;0</formula>
    </cfRule>
  </conditionalFormatting>
  <hyperlinks>
    <hyperlink r:id="rId1" ref="D66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2.0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11" t="s">
        <v>0</v>
      </c>
      <c r="B1" s="112" t="s">
        <v>1</v>
      </c>
      <c r="C1" s="111" t="s">
        <v>2</v>
      </c>
      <c r="D1" s="112" t="s">
        <v>3</v>
      </c>
    </row>
    <row r="2" ht="15.75" customHeight="1">
      <c r="A2" s="113" t="s">
        <v>592</v>
      </c>
      <c r="B2" s="114"/>
      <c r="C2" s="115"/>
      <c r="D2" s="114"/>
    </row>
    <row r="3" ht="15.75" customHeight="1">
      <c r="A3" s="6" t="s">
        <v>343</v>
      </c>
      <c r="B3" s="7"/>
      <c r="C3" s="9" t="s">
        <v>8</v>
      </c>
      <c r="D3" s="6" t="s">
        <v>593</v>
      </c>
    </row>
    <row r="4" ht="15.75" customHeight="1">
      <c r="A4" s="6" t="s">
        <v>5</v>
      </c>
      <c r="B4" s="7"/>
      <c r="C4" s="9" t="s">
        <v>8</v>
      </c>
    </row>
    <row r="5" ht="15.75" customHeight="1">
      <c r="A5" s="6" t="s">
        <v>594</v>
      </c>
      <c r="B5" s="101"/>
      <c r="C5" s="152" t="s">
        <v>180</v>
      </c>
    </row>
    <row r="6" ht="15.75" customHeight="1">
      <c r="A6" s="6" t="s">
        <v>345</v>
      </c>
      <c r="B6" s="101">
        <v>44216.0</v>
      </c>
      <c r="C6" s="152" t="s">
        <v>180</v>
      </c>
    </row>
    <row r="7" ht="15.75" customHeight="1">
      <c r="A7" s="6" t="s">
        <v>595</v>
      </c>
      <c r="B7" s="101"/>
      <c r="C7" s="152" t="s">
        <v>180</v>
      </c>
      <c r="D7" s="6" t="s">
        <v>596</v>
      </c>
    </row>
    <row r="8" ht="15.75" customHeight="1">
      <c r="A8" s="117" t="s">
        <v>80</v>
      </c>
      <c r="B8" s="118"/>
      <c r="C8" s="119"/>
      <c r="D8" s="114"/>
    </row>
    <row r="9" ht="15.75" customHeight="1">
      <c r="A9" s="13" t="s">
        <v>480</v>
      </c>
      <c r="B9" s="101">
        <v>44232.0</v>
      </c>
      <c r="C9" s="9" t="s">
        <v>8</v>
      </c>
      <c r="D9" s="6" t="s">
        <v>481</v>
      </c>
    </row>
    <row r="10" ht="15.75" customHeight="1">
      <c r="A10" s="13" t="s">
        <v>597</v>
      </c>
      <c r="B10" s="101">
        <v>44222.0</v>
      </c>
      <c r="C10" s="9" t="s">
        <v>75</v>
      </c>
    </row>
    <row r="11" ht="15.75" customHeight="1">
      <c r="A11" s="13" t="s">
        <v>598</v>
      </c>
      <c r="B11" s="101">
        <v>44225.0</v>
      </c>
      <c r="C11" s="9" t="s">
        <v>75</v>
      </c>
    </row>
    <row r="12" ht="15.75" customHeight="1">
      <c r="A12" s="13" t="s">
        <v>599</v>
      </c>
      <c r="B12" s="101">
        <v>44232.0</v>
      </c>
      <c r="C12" s="9" t="s">
        <v>8</v>
      </c>
    </row>
    <row r="13" ht="15.75" customHeight="1">
      <c r="A13" s="13" t="s">
        <v>486</v>
      </c>
      <c r="B13" s="101">
        <v>44225.0</v>
      </c>
      <c r="C13" s="9" t="s">
        <v>8</v>
      </c>
    </row>
    <row r="14" ht="15.75" customHeight="1">
      <c r="A14" s="113" t="s">
        <v>39</v>
      </c>
      <c r="B14" s="114"/>
      <c r="C14" s="115"/>
      <c r="D14" s="114"/>
    </row>
    <row r="15" ht="15.75" customHeight="1">
      <c r="A15" s="32" t="s">
        <v>40</v>
      </c>
      <c r="B15" s="29">
        <v>44225.0</v>
      </c>
      <c r="C15" s="16" t="s">
        <v>8</v>
      </c>
      <c r="D15" s="33" t="s">
        <v>600</v>
      </c>
      <c r="E15" s="27"/>
    </row>
    <row r="16" ht="15.75" customHeight="1">
      <c r="A16" s="32" t="s">
        <v>44</v>
      </c>
      <c r="B16" s="71">
        <v>44225.0</v>
      </c>
      <c r="C16" s="36"/>
      <c r="D16" s="37" t="s">
        <v>45</v>
      </c>
      <c r="E16" s="27"/>
    </row>
    <row r="17" ht="15.75" customHeight="1">
      <c r="A17" s="35" t="s">
        <v>48</v>
      </c>
      <c r="B17" s="44">
        <v>44225.0</v>
      </c>
      <c r="C17" s="36"/>
      <c r="D17" s="45" t="s">
        <v>49</v>
      </c>
      <c r="E17" s="27"/>
    </row>
    <row r="18" ht="15.75" customHeight="1">
      <c r="A18" s="46" t="s">
        <v>53</v>
      </c>
      <c r="B18" s="47">
        <v>44225.0</v>
      </c>
      <c r="C18" s="48" t="s">
        <v>601</v>
      </c>
      <c r="D18" s="49" t="s">
        <v>602</v>
      </c>
      <c r="E18" s="27"/>
    </row>
    <row r="19" ht="15.75" customHeight="1">
      <c r="A19" s="35" t="s">
        <v>55</v>
      </c>
      <c r="B19" s="44">
        <v>44225.0</v>
      </c>
      <c r="C19" s="36"/>
      <c r="D19" s="45" t="s">
        <v>56</v>
      </c>
      <c r="E19" s="27"/>
    </row>
    <row r="20" ht="15.75" customHeight="1">
      <c r="A20" s="35" t="s">
        <v>57</v>
      </c>
      <c r="B20" s="44">
        <v>44225.0</v>
      </c>
      <c r="C20" s="36"/>
      <c r="D20" s="45" t="s">
        <v>58</v>
      </c>
      <c r="E20" s="27"/>
    </row>
    <row r="21" ht="15.75" customHeight="1">
      <c r="A21" s="35" t="s">
        <v>61</v>
      </c>
      <c r="B21" s="44">
        <v>44225.0</v>
      </c>
      <c r="C21" s="7"/>
      <c r="D21" s="45" t="s">
        <v>62</v>
      </c>
      <c r="E21" s="27"/>
    </row>
    <row r="22" ht="15.75" customHeight="1">
      <c r="A22" s="35" t="s">
        <v>67</v>
      </c>
      <c r="B22" s="44">
        <v>44225.0</v>
      </c>
      <c r="C22" s="36" t="s">
        <v>8</v>
      </c>
      <c r="D22" s="45"/>
      <c r="E22" s="27"/>
    </row>
    <row r="23" ht="15.75" customHeight="1">
      <c r="A23" s="35" t="s">
        <v>70</v>
      </c>
      <c r="B23" s="44">
        <v>44225.0</v>
      </c>
      <c r="C23" s="36"/>
      <c r="D23" s="45" t="s">
        <v>71</v>
      </c>
      <c r="E23" s="27"/>
    </row>
    <row r="24" ht="15.75" customHeight="1">
      <c r="A24" s="35" t="s">
        <v>77</v>
      </c>
      <c r="B24" s="44">
        <v>44225.0</v>
      </c>
      <c r="C24" s="153" t="s">
        <v>8</v>
      </c>
      <c r="D24" s="45" t="s">
        <v>78</v>
      </c>
      <c r="E24" s="27"/>
    </row>
    <row r="25" ht="15.75" customHeight="1">
      <c r="A25" s="32" t="s">
        <v>487</v>
      </c>
      <c r="B25" s="120">
        <v>44225.0</v>
      </c>
      <c r="C25" s="153" t="s">
        <v>8</v>
      </c>
      <c r="D25" s="33"/>
      <c r="E25" s="27"/>
    </row>
    <row r="26" ht="15.75" customHeight="1">
      <c r="A26" s="32" t="s">
        <v>488</v>
      </c>
      <c r="B26" s="120">
        <v>44225.0</v>
      </c>
      <c r="C26" s="153" t="s">
        <v>8</v>
      </c>
      <c r="D26" s="33" t="s">
        <v>489</v>
      </c>
      <c r="E26" s="27"/>
    </row>
    <row r="27" ht="15.75" customHeight="1">
      <c r="A27" s="32" t="s">
        <v>490</v>
      </c>
      <c r="B27" s="120">
        <v>44225.0</v>
      </c>
      <c r="C27" s="153" t="s">
        <v>8</v>
      </c>
      <c r="D27" s="33"/>
      <c r="E27" s="27"/>
    </row>
    <row r="28" ht="15.75" customHeight="1">
      <c r="A28" s="32" t="s">
        <v>492</v>
      </c>
      <c r="B28" s="120">
        <v>44225.0</v>
      </c>
      <c r="C28" s="16"/>
      <c r="D28" s="33"/>
      <c r="E28" s="27"/>
    </row>
    <row r="29" ht="15.75" customHeight="1">
      <c r="A29" s="32" t="s">
        <v>603</v>
      </c>
      <c r="B29" s="120">
        <v>44222.0</v>
      </c>
      <c r="C29" s="16" t="s">
        <v>8</v>
      </c>
      <c r="D29" s="33"/>
      <c r="E29" s="27"/>
    </row>
    <row r="30" ht="15.75" customHeight="1">
      <c r="A30" s="32" t="s">
        <v>604</v>
      </c>
      <c r="B30" s="120"/>
      <c r="C30" s="153" t="s">
        <v>8</v>
      </c>
      <c r="D30" s="33" t="s">
        <v>605</v>
      </c>
      <c r="E30" s="27"/>
    </row>
    <row r="31" ht="15.75" customHeight="1">
      <c r="A31" s="32" t="s">
        <v>606</v>
      </c>
      <c r="B31" s="120">
        <v>44225.0</v>
      </c>
      <c r="C31" s="153"/>
      <c r="D31" s="33"/>
      <c r="E31" s="27"/>
    </row>
    <row r="32" ht="15.75" customHeight="1">
      <c r="A32" s="113" t="s">
        <v>87</v>
      </c>
      <c r="B32" s="125"/>
      <c r="C32" s="126"/>
      <c r="D32" s="114"/>
    </row>
    <row r="33" ht="15.75" customHeight="1">
      <c r="A33" s="13" t="s">
        <v>495</v>
      </c>
      <c r="B33" s="44">
        <v>44218.0</v>
      </c>
      <c r="C33" s="36" t="s">
        <v>8</v>
      </c>
      <c r="D33" s="6" t="s">
        <v>607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5.75" customHeight="1">
      <c r="A34" s="6" t="s">
        <v>608</v>
      </c>
      <c r="B34" s="44">
        <v>44214.0</v>
      </c>
      <c r="C34" s="36" t="s">
        <v>75</v>
      </c>
      <c r="D34" s="2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ht="16.5" customHeight="1">
      <c r="A35" s="6" t="s">
        <v>497</v>
      </c>
      <c r="B35" s="44">
        <v>44218.0</v>
      </c>
      <c r="C35" s="36" t="s">
        <v>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6.5" customHeight="1">
      <c r="A36" s="6" t="s">
        <v>498</v>
      </c>
      <c r="B36" s="44">
        <v>44218.0</v>
      </c>
      <c r="C36" s="36" t="s">
        <v>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6.5" customHeight="1">
      <c r="A37" s="6" t="s">
        <v>499</v>
      </c>
      <c r="B37" s="44">
        <v>44218.0</v>
      </c>
      <c r="C37" s="36" t="s">
        <v>8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13" t="s">
        <v>500</v>
      </c>
      <c r="B38" s="44">
        <v>44218.0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127" t="s">
        <v>501</v>
      </c>
      <c r="B39" s="101">
        <v>44215.0</v>
      </c>
      <c r="C39" s="36" t="s">
        <v>8</v>
      </c>
      <c r="D39" s="6" t="s">
        <v>609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128" t="s">
        <v>503</v>
      </c>
      <c r="B40" s="44">
        <v>44216.0</v>
      </c>
      <c r="C40" s="36" t="s">
        <v>75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19" t="s">
        <v>610</v>
      </c>
      <c r="B41" s="154"/>
      <c r="C41" s="19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155" t="s">
        <v>610</v>
      </c>
      <c r="B42" s="154"/>
      <c r="C42" s="9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5.75" customHeight="1">
      <c r="A43" s="130" t="s">
        <v>82</v>
      </c>
      <c r="B43" s="125"/>
      <c r="C43" s="114"/>
      <c r="D43" s="114"/>
    </row>
    <row r="44" ht="15.75" customHeight="1">
      <c r="A44" s="19" t="s">
        <v>611</v>
      </c>
      <c r="B44" s="101">
        <v>44225.0</v>
      </c>
      <c r="C44" s="156" t="s">
        <v>75</v>
      </c>
      <c r="D44" s="27" t="s">
        <v>612</v>
      </c>
    </row>
    <row r="45" ht="15.75" customHeight="1">
      <c r="A45" s="19" t="s">
        <v>613</v>
      </c>
      <c r="B45" s="101">
        <v>44222.0</v>
      </c>
      <c r="C45" s="156" t="s">
        <v>75</v>
      </c>
      <c r="D45" s="27" t="s">
        <v>614</v>
      </c>
    </row>
    <row r="46" ht="15.75" customHeight="1">
      <c r="A46" s="19" t="s">
        <v>615</v>
      </c>
      <c r="B46" s="101">
        <v>44222.0</v>
      </c>
      <c r="C46" s="156" t="s">
        <v>75</v>
      </c>
      <c r="D46" s="27" t="s">
        <v>616</v>
      </c>
    </row>
    <row r="47" ht="15.75" customHeight="1">
      <c r="A47" s="131" t="s">
        <v>617</v>
      </c>
      <c r="B47" s="101">
        <v>44221.0</v>
      </c>
      <c r="C47" s="156" t="s">
        <v>75</v>
      </c>
      <c r="D47" s="6" t="s">
        <v>618</v>
      </c>
    </row>
    <row r="48" ht="15.75" customHeight="1">
      <c r="A48" s="131" t="s">
        <v>619</v>
      </c>
      <c r="B48" s="101">
        <v>44221.0</v>
      </c>
      <c r="C48" s="156" t="s">
        <v>75</v>
      </c>
      <c r="D48" s="6" t="s">
        <v>620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5.75" customHeight="1">
      <c r="A49" s="131" t="s">
        <v>621</v>
      </c>
      <c r="B49" s="101">
        <v>44225.0</v>
      </c>
      <c r="C49" s="156" t="s">
        <v>622</v>
      </c>
      <c r="D49" s="6" t="s">
        <v>623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</row>
    <row r="50" ht="15.75" customHeight="1">
      <c r="A50" s="131" t="s">
        <v>520</v>
      </c>
      <c r="B50" s="101">
        <v>44225.0</v>
      </c>
      <c r="C50" s="156" t="s">
        <v>75</v>
      </c>
      <c r="D50" s="6" t="s">
        <v>601</v>
      </c>
    </row>
    <row r="51" ht="15.75" customHeight="1">
      <c r="A51" s="19" t="s">
        <v>624</v>
      </c>
      <c r="B51" s="101">
        <v>44221.0</v>
      </c>
      <c r="C51" s="156" t="s">
        <v>75</v>
      </c>
      <c r="D51" s="6" t="s">
        <v>625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5.75" customHeight="1">
      <c r="A52" s="131" t="s">
        <v>626</v>
      </c>
      <c r="B52" s="101">
        <v>44225.0</v>
      </c>
      <c r="C52" s="90" t="s">
        <v>627</v>
      </c>
      <c r="D52" s="6" t="s">
        <v>628</v>
      </c>
    </row>
    <row r="53" ht="15.75" customHeight="1">
      <c r="A53" s="131" t="s">
        <v>629</v>
      </c>
      <c r="B53" s="101">
        <v>44225.0</v>
      </c>
      <c r="C53" s="90" t="s">
        <v>75</v>
      </c>
      <c r="D53" s="6" t="s">
        <v>630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15.75" customHeight="1">
      <c r="A54" s="131" t="s">
        <v>631</v>
      </c>
      <c r="B54" s="101">
        <v>44225.0</v>
      </c>
      <c r="C54" s="90" t="s">
        <v>627</v>
      </c>
      <c r="D54" s="6" t="s">
        <v>632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30" t="s">
        <v>9</v>
      </c>
      <c r="B55" s="134"/>
      <c r="C55" s="114"/>
      <c r="D55" s="11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>
      <c r="A56" s="13" t="s">
        <v>10</v>
      </c>
      <c r="B56" s="7" t="s">
        <v>11</v>
      </c>
      <c r="C56" s="9" t="s">
        <v>8</v>
      </c>
      <c r="D56" s="6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customHeight="1">
      <c r="A57" s="13" t="s">
        <v>12</v>
      </c>
      <c r="B57" s="7" t="s">
        <v>11</v>
      </c>
      <c r="C57" s="9" t="s">
        <v>8</v>
      </c>
      <c r="D57" s="6"/>
    </row>
    <row r="58" ht="15.75" customHeight="1">
      <c r="A58" s="13" t="s">
        <v>13</v>
      </c>
      <c r="B58" s="7" t="s">
        <v>14</v>
      </c>
      <c r="C58" s="9" t="s">
        <v>8</v>
      </c>
      <c r="D58" s="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15.75" customHeight="1">
      <c r="A59" s="13" t="s">
        <v>15</v>
      </c>
      <c r="B59" s="7" t="s">
        <v>16</v>
      </c>
      <c r="C59" s="9" t="s">
        <v>8</v>
      </c>
      <c r="D59" s="27" t="s">
        <v>17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75" customHeight="1">
      <c r="A60" s="13" t="s">
        <v>18</v>
      </c>
      <c r="B60" s="7" t="s">
        <v>16</v>
      </c>
      <c r="C60" s="9" t="s">
        <v>8</v>
      </c>
      <c r="D60" s="6" t="s">
        <v>19</v>
      </c>
    </row>
    <row r="61" ht="15.75" customHeight="1">
      <c r="A61" s="19" t="s">
        <v>20</v>
      </c>
      <c r="B61" s="26" t="s">
        <v>16</v>
      </c>
      <c r="C61" s="9" t="s">
        <v>8</v>
      </c>
      <c r="D61" s="6" t="s">
        <v>21</v>
      </c>
    </row>
    <row r="62" ht="15.75" customHeight="1">
      <c r="A62" s="19" t="s">
        <v>633</v>
      </c>
      <c r="B62" s="7" t="s">
        <v>527</v>
      </c>
      <c r="C62" s="9" t="s">
        <v>8</v>
      </c>
      <c r="D62" s="6" t="s">
        <v>634</v>
      </c>
    </row>
    <row r="63" ht="15.75" customHeight="1">
      <c r="A63" s="20" t="s">
        <v>635</v>
      </c>
      <c r="B63" s="22" t="s">
        <v>636</v>
      </c>
      <c r="C63" s="9" t="s">
        <v>23</v>
      </c>
      <c r="D63" s="135"/>
    </row>
    <row r="64" ht="15.75" customHeight="1">
      <c r="A64" s="13" t="s">
        <v>637</v>
      </c>
      <c r="B64" s="7" t="s">
        <v>638</v>
      </c>
      <c r="C64" s="9" t="s">
        <v>8</v>
      </c>
      <c r="D64" s="135"/>
    </row>
    <row r="65" ht="15.75" customHeight="1">
      <c r="A65" s="20" t="s">
        <v>639</v>
      </c>
      <c r="B65" s="22" t="s">
        <v>636</v>
      </c>
      <c r="C65" s="9" t="s">
        <v>23</v>
      </c>
      <c r="D65" s="27"/>
    </row>
    <row r="66" ht="15.75" customHeight="1">
      <c r="A66" s="20" t="s">
        <v>640</v>
      </c>
      <c r="B66" s="22" t="s">
        <v>536</v>
      </c>
      <c r="C66" s="9" t="s">
        <v>23</v>
      </c>
      <c r="D66" s="6"/>
    </row>
    <row r="67" ht="15.75" customHeight="1">
      <c r="A67" s="20" t="s">
        <v>641</v>
      </c>
      <c r="B67" s="158">
        <v>44223.0</v>
      </c>
      <c r="C67" s="9" t="s">
        <v>23</v>
      </c>
      <c r="D67" s="6"/>
    </row>
    <row r="68" ht="15.75" customHeight="1">
      <c r="A68" s="13" t="s">
        <v>540</v>
      </c>
      <c r="B68" s="26"/>
      <c r="C68" s="9" t="s">
        <v>8</v>
      </c>
      <c r="D68" s="6" t="s">
        <v>541</v>
      </c>
    </row>
    <row r="69" ht="15.75" customHeight="1">
      <c r="A69" s="136" t="s">
        <v>543</v>
      </c>
      <c r="B69" s="26"/>
      <c r="C69" s="9" t="s">
        <v>8</v>
      </c>
      <c r="D69" s="8" t="s">
        <v>642</v>
      </c>
    </row>
    <row r="70" ht="15.75" customHeight="1">
      <c r="A70" s="19" t="s">
        <v>544</v>
      </c>
      <c r="B70" s="26"/>
      <c r="C70" s="9" t="s">
        <v>8</v>
      </c>
      <c r="D70" s="6"/>
    </row>
    <row r="71" ht="15.75" customHeight="1">
      <c r="A71" s="13" t="s">
        <v>34</v>
      </c>
      <c r="B71" s="7"/>
      <c r="C71" s="9" t="s">
        <v>8</v>
      </c>
      <c r="D71" s="6" t="s">
        <v>643</v>
      </c>
    </row>
    <row r="72" ht="15.75" customHeight="1">
      <c r="A72" s="19" t="s">
        <v>36</v>
      </c>
      <c r="B72" s="26"/>
      <c r="C72" s="9" t="s">
        <v>8</v>
      </c>
      <c r="D72" s="6"/>
    </row>
    <row r="73" ht="15.75" customHeight="1">
      <c r="A73" s="137" t="s">
        <v>37</v>
      </c>
      <c r="B73" s="26"/>
      <c r="C73" s="9" t="s">
        <v>8</v>
      </c>
      <c r="D73" s="6" t="s">
        <v>545</v>
      </c>
    </row>
    <row r="74" ht="15.75" customHeight="1">
      <c r="A74" s="117" t="s">
        <v>98</v>
      </c>
      <c r="B74" s="114"/>
      <c r="C74" s="114"/>
      <c r="D74" s="114"/>
    </row>
    <row r="75" ht="15.75" customHeight="1">
      <c r="A75" s="19" t="s">
        <v>101</v>
      </c>
      <c r="B75" s="6" t="s">
        <v>377</v>
      </c>
      <c r="C75" s="66" t="s">
        <v>546</v>
      </c>
      <c r="D75" s="6"/>
    </row>
    <row r="76" ht="15.75" customHeight="1">
      <c r="A76" s="19" t="s">
        <v>263</v>
      </c>
      <c r="B76" s="6" t="s">
        <v>377</v>
      </c>
      <c r="C76" s="19" t="s">
        <v>8</v>
      </c>
      <c r="D76" s="6"/>
    </row>
    <row r="77" ht="15.75" customHeight="1">
      <c r="A77" s="19" t="s">
        <v>103</v>
      </c>
      <c r="B77" s="6" t="s">
        <v>377</v>
      </c>
      <c r="C77" s="19" t="s">
        <v>8</v>
      </c>
      <c r="D77" s="6"/>
    </row>
    <row r="78" ht="15.75" customHeight="1">
      <c r="A78" s="19" t="s">
        <v>105</v>
      </c>
      <c r="B78" s="27" t="s">
        <v>378</v>
      </c>
      <c r="C78" s="66" t="s">
        <v>546</v>
      </c>
      <c r="D78" s="6"/>
    </row>
    <row r="79" ht="15.75" customHeight="1">
      <c r="A79" s="13" t="s">
        <v>107</v>
      </c>
      <c r="B79" s="6" t="s">
        <v>644</v>
      </c>
      <c r="C79" s="19" t="s">
        <v>645</v>
      </c>
      <c r="D79" s="6"/>
    </row>
    <row r="80" ht="15.75" customHeight="1">
      <c r="A80" s="13" t="s">
        <v>274</v>
      </c>
      <c r="B80" s="6" t="s">
        <v>638</v>
      </c>
      <c r="C80" s="19" t="s">
        <v>8</v>
      </c>
      <c r="D80" s="6" t="s">
        <v>646</v>
      </c>
    </row>
    <row r="81" ht="15.75" customHeight="1">
      <c r="A81" s="13" t="s">
        <v>111</v>
      </c>
      <c r="B81" s="6" t="s">
        <v>377</v>
      </c>
      <c r="C81" s="66" t="s">
        <v>647</v>
      </c>
      <c r="D81" s="6" t="s">
        <v>648</v>
      </c>
    </row>
    <row r="82" ht="15.75" customHeight="1">
      <c r="A82" s="13" t="s">
        <v>113</v>
      </c>
      <c r="B82" s="6" t="s">
        <v>377</v>
      </c>
      <c r="C82" s="19" t="s">
        <v>8</v>
      </c>
      <c r="D82" s="6" t="s">
        <v>649</v>
      </c>
    </row>
    <row r="83" ht="15.75" customHeight="1">
      <c r="A83" s="13" t="s">
        <v>382</v>
      </c>
      <c r="B83" s="6" t="s">
        <v>377</v>
      </c>
      <c r="C83" s="19" t="s">
        <v>8</v>
      </c>
      <c r="D83" s="6" t="s">
        <v>549</v>
      </c>
    </row>
    <row r="84" ht="15.75" customHeight="1">
      <c r="A84" s="13" t="s">
        <v>384</v>
      </c>
      <c r="B84" s="6" t="s">
        <v>377</v>
      </c>
      <c r="C84" s="66" t="s">
        <v>647</v>
      </c>
      <c r="D84" s="6" t="s">
        <v>650</v>
      </c>
    </row>
    <row r="85" ht="15.75" customHeight="1">
      <c r="A85" s="13" t="s">
        <v>386</v>
      </c>
      <c r="B85" s="6" t="s">
        <v>377</v>
      </c>
      <c r="C85" s="66" t="s">
        <v>647</v>
      </c>
      <c r="D85" s="6" t="s">
        <v>648</v>
      </c>
    </row>
    <row r="86" ht="15.75" customHeight="1">
      <c r="A86" s="13" t="s">
        <v>555</v>
      </c>
      <c r="B86" s="6" t="s">
        <v>377</v>
      </c>
      <c r="C86" s="66" t="s">
        <v>647</v>
      </c>
      <c r="D86" s="6" t="s">
        <v>648</v>
      </c>
    </row>
    <row r="87" ht="15.75" customHeight="1">
      <c r="A87" s="13" t="s">
        <v>557</v>
      </c>
      <c r="B87" s="6" t="s">
        <v>377</v>
      </c>
      <c r="C87" s="66" t="s">
        <v>647</v>
      </c>
      <c r="D87" s="6" t="s">
        <v>648</v>
      </c>
    </row>
    <row r="88" ht="15.75" customHeight="1">
      <c r="A88" s="13" t="s">
        <v>559</v>
      </c>
      <c r="B88" s="6" t="s">
        <v>377</v>
      </c>
      <c r="C88" s="66" t="s">
        <v>647</v>
      </c>
      <c r="D88" s="6" t="s">
        <v>648</v>
      </c>
    </row>
    <row r="89" ht="15.75" customHeight="1">
      <c r="A89" s="13" t="s">
        <v>651</v>
      </c>
      <c r="B89" s="6" t="s">
        <v>377</v>
      </c>
      <c r="C89" s="19" t="s">
        <v>8</v>
      </c>
      <c r="D89" s="6" t="s">
        <v>652</v>
      </c>
    </row>
    <row r="90" ht="15.75" customHeight="1">
      <c r="A90" s="13" t="s">
        <v>560</v>
      </c>
      <c r="B90" s="6" t="s">
        <v>561</v>
      </c>
      <c r="C90" s="66" t="s">
        <v>647</v>
      </c>
      <c r="D90" s="6"/>
    </row>
    <row r="91" ht="15.75" customHeight="1">
      <c r="A91" s="159" t="s">
        <v>562</v>
      </c>
      <c r="B91" s="160" t="s">
        <v>388</v>
      </c>
      <c r="C91" s="66" t="s">
        <v>647</v>
      </c>
      <c r="D91" s="160" t="s">
        <v>653</v>
      </c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</row>
    <row r="92" ht="15.75" customHeight="1">
      <c r="A92" s="13" t="s">
        <v>389</v>
      </c>
      <c r="B92" s="160" t="s">
        <v>636</v>
      </c>
      <c r="C92" s="66" t="s">
        <v>647</v>
      </c>
      <c r="D92" s="6"/>
    </row>
    <row r="93" ht="15.75" customHeight="1">
      <c r="A93" s="19" t="s">
        <v>654</v>
      </c>
      <c r="B93" s="160" t="s">
        <v>536</v>
      </c>
      <c r="C93" s="66" t="s">
        <v>23</v>
      </c>
      <c r="D93" s="6"/>
    </row>
    <row r="94" ht="15.75" customHeight="1">
      <c r="A94" s="19" t="s">
        <v>655</v>
      </c>
      <c r="B94" s="160" t="s">
        <v>638</v>
      </c>
      <c r="C94" s="106" t="s">
        <v>8</v>
      </c>
      <c r="D94" s="6"/>
    </row>
    <row r="95" ht="15.75" customHeight="1">
      <c r="A95" s="19" t="s">
        <v>656</v>
      </c>
      <c r="B95" s="160" t="s">
        <v>657</v>
      </c>
      <c r="C95" s="106" t="s">
        <v>8</v>
      </c>
      <c r="D95" s="6"/>
    </row>
    <row r="96" ht="15.75" customHeight="1">
      <c r="A96" s="19" t="s">
        <v>658</v>
      </c>
      <c r="B96" s="160" t="s">
        <v>561</v>
      </c>
      <c r="C96" s="106" t="s">
        <v>8</v>
      </c>
      <c r="D96" s="6"/>
    </row>
    <row r="97" ht="15.75" customHeight="1">
      <c r="A97" s="19" t="s">
        <v>659</v>
      </c>
      <c r="B97" s="160" t="s">
        <v>552</v>
      </c>
      <c r="C97" s="106" t="s">
        <v>8</v>
      </c>
      <c r="D97" s="6"/>
    </row>
    <row r="98" ht="15.75" customHeight="1">
      <c r="A98" s="19" t="s">
        <v>660</v>
      </c>
      <c r="B98" s="160" t="s">
        <v>657</v>
      </c>
      <c r="C98" s="106" t="s">
        <v>8</v>
      </c>
      <c r="D98" s="6"/>
    </row>
    <row r="99" ht="15.75" customHeight="1">
      <c r="A99" s="19" t="s">
        <v>661</v>
      </c>
      <c r="B99" s="160" t="s">
        <v>527</v>
      </c>
      <c r="C99" s="66" t="s">
        <v>23</v>
      </c>
      <c r="D99" s="6"/>
    </row>
    <row r="100" ht="15.75" customHeight="1">
      <c r="A100" s="19" t="s">
        <v>662</v>
      </c>
      <c r="B100" s="160" t="s">
        <v>663</v>
      </c>
      <c r="C100" s="106"/>
      <c r="D100" s="6"/>
    </row>
    <row r="101" ht="15.75" customHeight="1">
      <c r="A101" s="117" t="s">
        <v>565</v>
      </c>
      <c r="B101" s="142"/>
      <c r="C101" s="114"/>
      <c r="D101" s="114"/>
    </row>
    <row r="102" ht="15.75" customHeight="1">
      <c r="A102" s="13" t="s">
        <v>664</v>
      </c>
      <c r="B102" s="143">
        <v>44221.0</v>
      </c>
      <c r="C102" s="66" t="s">
        <v>120</v>
      </c>
      <c r="D102" s="6"/>
    </row>
    <row r="103" ht="15.75" customHeight="1">
      <c r="A103" s="13" t="s">
        <v>665</v>
      </c>
      <c r="B103" s="143">
        <v>44222.0</v>
      </c>
      <c r="C103" s="66" t="s">
        <v>120</v>
      </c>
      <c r="D103" s="6"/>
    </row>
    <row r="104" ht="15.75" customHeight="1">
      <c r="A104" s="13" t="s">
        <v>666</v>
      </c>
      <c r="B104" s="143">
        <v>44222.0</v>
      </c>
      <c r="C104" s="66" t="s">
        <v>120</v>
      </c>
      <c r="D104" s="6"/>
    </row>
    <row r="105" ht="15.75" customHeight="1">
      <c r="A105" s="13" t="s">
        <v>667</v>
      </c>
      <c r="B105" s="143">
        <v>44222.0</v>
      </c>
      <c r="C105" s="66" t="s">
        <v>120</v>
      </c>
      <c r="D105" s="6"/>
    </row>
    <row r="106" ht="15.75" customHeight="1">
      <c r="A106" s="19" t="s">
        <v>580</v>
      </c>
      <c r="B106" s="143">
        <v>44222.0</v>
      </c>
      <c r="C106" s="96" t="s">
        <v>129</v>
      </c>
      <c r="D106" s="6" t="s">
        <v>581</v>
      </c>
    </row>
    <row r="107" ht="15.75" customHeight="1">
      <c r="A107" s="13" t="s">
        <v>578</v>
      </c>
      <c r="B107" s="143">
        <v>44223.0</v>
      </c>
      <c r="C107" s="96" t="s">
        <v>129</v>
      </c>
      <c r="D107" s="6"/>
    </row>
    <row r="108" ht="15.75" customHeight="1">
      <c r="A108" s="13" t="s">
        <v>577</v>
      </c>
      <c r="B108" s="143">
        <v>44225.0</v>
      </c>
      <c r="C108" s="96" t="s">
        <v>129</v>
      </c>
      <c r="D108" s="6"/>
    </row>
    <row r="109" ht="15.75" customHeight="1">
      <c r="A109" s="13" t="s">
        <v>573</v>
      </c>
      <c r="B109" s="143">
        <v>44225.0</v>
      </c>
      <c r="C109" s="144" t="s">
        <v>574</v>
      </c>
      <c r="D109" s="6"/>
    </row>
    <row r="110" ht="15.75" customHeight="1">
      <c r="A110" s="13" t="s">
        <v>582</v>
      </c>
      <c r="B110" s="143">
        <v>44225.0</v>
      </c>
      <c r="C110" s="96" t="s">
        <v>129</v>
      </c>
      <c r="D110" s="6"/>
    </row>
    <row r="111" ht="15.75" customHeight="1">
      <c r="A111" s="161" t="s">
        <v>579</v>
      </c>
      <c r="B111" s="146">
        <v>44228.0</v>
      </c>
      <c r="C111" s="147"/>
      <c r="D111" s="147"/>
    </row>
    <row r="112" ht="15.75" customHeight="1">
      <c r="A112" s="19" t="s">
        <v>583</v>
      </c>
      <c r="B112" s="143">
        <v>44228.0</v>
      </c>
      <c r="C112" s="6"/>
      <c r="D112" s="6"/>
    </row>
    <row r="113" ht="15.75" customHeight="1">
      <c r="A113" s="19" t="s">
        <v>584</v>
      </c>
      <c r="B113" s="143">
        <v>44228.0</v>
      </c>
      <c r="C113" s="6"/>
      <c r="D113" s="6"/>
    </row>
    <row r="114" ht="15.75" customHeight="1">
      <c r="A114" s="13" t="s">
        <v>668</v>
      </c>
      <c r="B114" s="143"/>
      <c r="C114" s="19"/>
      <c r="D114" s="6"/>
    </row>
    <row r="115" ht="15.75" customHeight="1">
      <c r="A115" s="13" t="s">
        <v>131</v>
      </c>
      <c r="B115" s="143"/>
      <c r="C115" s="19"/>
      <c r="D115" s="6"/>
    </row>
    <row r="116" ht="15.75" customHeight="1">
      <c r="A116" s="19" t="s">
        <v>139</v>
      </c>
      <c r="B116" s="6"/>
      <c r="C116" s="6"/>
      <c r="D116" s="6"/>
    </row>
    <row r="117" ht="15.75" customHeight="1">
      <c r="A117" s="19" t="s">
        <v>141</v>
      </c>
      <c r="B117" s="56"/>
      <c r="C117" s="6"/>
      <c r="D117" s="6"/>
    </row>
    <row r="118" ht="15.75" customHeight="1">
      <c r="A118" s="19" t="s">
        <v>142</v>
      </c>
      <c r="B118" s="56"/>
      <c r="C118" s="6"/>
      <c r="D118" s="6"/>
    </row>
    <row r="119" ht="15.75" customHeight="1">
      <c r="A119" s="130" t="s">
        <v>143</v>
      </c>
      <c r="B119" s="125"/>
      <c r="C119" s="114"/>
      <c r="D119" s="114"/>
    </row>
    <row r="120" ht="15.75" customHeight="1">
      <c r="A120" s="19" t="s">
        <v>669</v>
      </c>
      <c r="B120" s="150">
        <v>44225.0</v>
      </c>
      <c r="C120" s="19" t="s">
        <v>8</v>
      </c>
      <c r="D120" s="6"/>
    </row>
    <row r="121" ht="15.75" customHeight="1">
      <c r="A121" s="19" t="s">
        <v>590</v>
      </c>
      <c r="B121" s="150">
        <v>44225.0</v>
      </c>
      <c r="C121" s="19" t="s">
        <v>8</v>
      </c>
      <c r="D121" s="6"/>
    </row>
    <row r="122" ht="15.75" customHeight="1">
      <c r="A122" s="89" t="s">
        <v>670</v>
      </c>
      <c r="B122" s="162">
        <v>44221.0</v>
      </c>
      <c r="C122" s="99" t="s">
        <v>23</v>
      </c>
      <c r="D122" s="99"/>
    </row>
    <row r="123" ht="15.75" customHeight="1">
      <c r="A123" s="89" t="s">
        <v>671</v>
      </c>
      <c r="B123" s="162">
        <v>44222.0</v>
      </c>
      <c r="C123" s="99" t="s">
        <v>23</v>
      </c>
      <c r="D123" s="99"/>
    </row>
    <row r="124" ht="15.75" customHeight="1">
      <c r="A124" s="89" t="s">
        <v>672</v>
      </c>
      <c r="B124" s="162">
        <v>44224.0</v>
      </c>
      <c r="C124" s="99" t="s">
        <v>23</v>
      </c>
      <c r="D124" s="99" t="s">
        <v>673</v>
      </c>
    </row>
    <row r="125" ht="15.75" customHeight="1">
      <c r="A125" s="89" t="s">
        <v>674</v>
      </c>
      <c r="B125" s="162">
        <v>44225.0</v>
      </c>
      <c r="C125" s="99" t="s">
        <v>23</v>
      </c>
      <c r="D125" s="99"/>
    </row>
    <row r="126" ht="15.75" customHeight="1">
      <c r="A126" s="89" t="s">
        <v>675</v>
      </c>
      <c r="B126" s="162">
        <v>44225.0</v>
      </c>
      <c r="C126" s="99" t="s">
        <v>23</v>
      </c>
      <c r="D126" s="99"/>
    </row>
    <row r="127" ht="15.75" customHeight="1">
      <c r="A127" s="117" t="s">
        <v>147</v>
      </c>
      <c r="B127" s="151"/>
      <c r="C127" s="114"/>
      <c r="D127" s="114"/>
    </row>
    <row r="128" ht="15.75" customHeight="1">
      <c r="A128" s="19" t="s">
        <v>148</v>
      </c>
      <c r="B128" s="150">
        <v>44227.0</v>
      </c>
      <c r="C128" s="19" t="s">
        <v>8</v>
      </c>
      <c r="D128" s="6"/>
    </row>
    <row r="129" ht="15.75" customHeight="1">
      <c r="A129" s="66" t="s">
        <v>395</v>
      </c>
      <c r="B129" s="150">
        <v>44227.0</v>
      </c>
      <c r="C129" s="19" t="s">
        <v>8</v>
      </c>
      <c r="D129" s="6"/>
    </row>
    <row r="130" ht="15.75" customHeight="1">
      <c r="A130" s="19" t="s">
        <v>396</v>
      </c>
      <c r="B130" s="150">
        <v>44227.0</v>
      </c>
      <c r="C130" s="19" t="s">
        <v>8</v>
      </c>
      <c r="D130" s="6"/>
    </row>
    <row r="131" ht="15.75" customHeight="1">
      <c r="A131" s="19" t="s">
        <v>156</v>
      </c>
      <c r="B131" s="150">
        <v>44227.0</v>
      </c>
      <c r="C131" s="19" t="s">
        <v>8</v>
      </c>
      <c r="D131" s="6"/>
    </row>
    <row r="132" ht="15.75" customHeight="1">
      <c r="A132" s="19" t="s">
        <v>158</v>
      </c>
      <c r="B132" s="150">
        <v>44237.0</v>
      </c>
      <c r="C132" s="19" t="s">
        <v>8</v>
      </c>
      <c r="D132" s="6"/>
    </row>
    <row r="133" ht="15.75" customHeight="1">
      <c r="A133" s="19" t="s">
        <v>397</v>
      </c>
      <c r="B133" s="150">
        <v>44227.0</v>
      </c>
      <c r="C133" s="19" t="s">
        <v>8</v>
      </c>
      <c r="D133" s="6"/>
    </row>
    <row r="134" ht="15.75" customHeight="1">
      <c r="A134" s="19" t="s">
        <v>398</v>
      </c>
      <c r="B134" s="150">
        <v>44227.0</v>
      </c>
      <c r="C134" s="19" t="s">
        <v>676</v>
      </c>
      <c r="D134" s="6"/>
    </row>
    <row r="135" ht="15.75" customHeight="1">
      <c r="A135" s="19" t="s">
        <v>399</v>
      </c>
      <c r="B135" s="150">
        <v>44227.0</v>
      </c>
      <c r="C135" s="19" t="s">
        <v>8</v>
      </c>
      <c r="D135" s="6"/>
    </row>
    <row r="136" ht="15.75" customHeight="1">
      <c r="A136" s="19" t="s">
        <v>400</v>
      </c>
      <c r="B136" s="150">
        <v>44255.0</v>
      </c>
      <c r="C136" s="19" t="s">
        <v>8</v>
      </c>
      <c r="D136" s="6"/>
    </row>
    <row r="137" ht="15.75" customHeight="1">
      <c r="A137" s="19" t="s">
        <v>591</v>
      </c>
      <c r="B137" s="150">
        <v>44227.0</v>
      </c>
      <c r="C137" s="19" t="s">
        <v>152</v>
      </c>
      <c r="D137" s="6"/>
    </row>
    <row r="138" ht="15.75" customHeight="1">
      <c r="A138" s="163" t="s">
        <v>677</v>
      </c>
      <c r="B138" s="164">
        <v>44223.0</v>
      </c>
      <c r="C138" s="19" t="s">
        <v>23</v>
      </c>
    </row>
    <row r="139" ht="15.75" customHeight="1">
      <c r="A139" s="19" t="s">
        <v>678</v>
      </c>
      <c r="B139" s="164">
        <v>44223.0</v>
      </c>
      <c r="C139" s="19" t="s">
        <v>8</v>
      </c>
    </row>
    <row r="140" ht="15.75" customHeight="1">
      <c r="A140" s="19" t="s">
        <v>679</v>
      </c>
      <c r="B140" s="164">
        <v>44226.0</v>
      </c>
      <c r="C140" s="19" t="s">
        <v>23</v>
      </c>
    </row>
    <row r="141" ht="15.75" customHeight="1">
      <c r="A141" s="19" t="s">
        <v>680</v>
      </c>
      <c r="B141" s="164">
        <v>44224.0</v>
      </c>
      <c r="C141" s="19" t="s">
        <v>23</v>
      </c>
    </row>
    <row r="142" ht="15.75" customHeight="1">
      <c r="A142" s="19" t="s">
        <v>681</v>
      </c>
      <c r="B142" s="164">
        <v>44229.0</v>
      </c>
      <c r="C142" s="19" t="s">
        <v>23</v>
      </c>
    </row>
    <row r="143" ht="15.75" customHeight="1">
      <c r="A143" s="19" t="s">
        <v>682</v>
      </c>
      <c r="B143" s="164">
        <v>44242.0</v>
      </c>
      <c r="C143" s="19" t="s">
        <v>152</v>
      </c>
    </row>
    <row r="144" ht="15.75" customHeight="1">
      <c r="A144" s="19" t="s">
        <v>683</v>
      </c>
      <c r="B144" s="164">
        <v>44227.0</v>
      </c>
      <c r="C144" s="19" t="s">
        <v>8</v>
      </c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>
      <c r="A338" s="19"/>
      <c r="C338" s="19"/>
    </row>
    <row r="339" ht="15.75" customHeight="1">
      <c r="A339" s="19"/>
      <c r="C339" s="19"/>
    </row>
    <row r="340" ht="15.75" customHeight="1">
      <c r="A340" s="19"/>
      <c r="C340" s="19"/>
    </row>
    <row r="341" ht="15.75" customHeight="1">
      <c r="A341" s="19"/>
      <c r="C341" s="19"/>
    </row>
    <row r="342" ht="15.75" customHeight="1">
      <c r="A342" s="19"/>
      <c r="C342" s="19"/>
    </row>
    <row r="343" ht="15.75" customHeight="1">
      <c r="A343" s="19"/>
      <c r="C343" s="19"/>
    </row>
    <row r="344" ht="15.75" customHeight="1">
      <c r="A344" s="19"/>
      <c r="C344" s="19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20:A121">
    <cfRule type="notContainsBlanks" dxfId="0" priority="1">
      <formula>LEN(TRIM(A120))&gt;0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2.0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11" t="s">
        <v>0</v>
      </c>
      <c r="B1" s="112" t="s">
        <v>1</v>
      </c>
      <c r="C1" s="111" t="s">
        <v>2</v>
      </c>
      <c r="D1" s="112" t="s">
        <v>3</v>
      </c>
    </row>
    <row r="2" ht="15.75" customHeight="1">
      <c r="A2" s="113" t="s">
        <v>592</v>
      </c>
      <c r="B2" s="114"/>
      <c r="C2" s="115"/>
      <c r="D2" s="114"/>
    </row>
    <row r="3" ht="15.75" customHeight="1">
      <c r="A3" s="6" t="s">
        <v>343</v>
      </c>
      <c r="B3" s="7"/>
      <c r="C3" s="9" t="s">
        <v>8</v>
      </c>
      <c r="D3" s="6" t="s">
        <v>593</v>
      </c>
    </row>
    <row r="4" ht="15.75" customHeight="1">
      <c r="A4" s="6" t="s">
        <v>5</v>
      </c>
      <c r="B4" s="7"/>
      <c r="C4" s="9" t="s">
        <v>8</v>
      </c>
    </row>
    <row r="5" ht="15.75" customHeight="1">
      <c r="A5" s="6" t="s">
        <v>684</v>
      </c>
      <c r="B5" s="101"/>
      <c r="C5" s="9" t="s">
        <v>339</v>
      </c>
    </row>
    <row r="6" ht="15.75" customHeight="1">
      <c r="A6" s="6" t="s">
        <v>685</v>
      </c>
      <c r="B6" s="101"/>
      <c r="C6" s="9" t="s">
        <v>8</v>
      </c>
    </row>
    <row r="7" ht="15.75" customHeight="1">
      <c r="B7" s="101"/>
      <c r="C7" s="9"/>
    </row>
    <row r="8" ht="15.75" customHeight="1">
      <c r="A8" s="117" t="s">
        <v>80</v>
      </c>
      <c r="B8" s="118"/>
      <c r="C8" s="119"/>
      <c r="D8" s="114"/>
    </row>
    <row r="9" ht="15.75" customHeight="1">
      <c r="A9" s="13" t="s">
        <v>480</v>
      </c>
      <c r="B9" s="101">
        <v>44232.0</v>
      </c>
      <c r="C9" s="9" t="s">
        <v>8</v>
      </c>
      <c r="D9" s="6" t="s">
        <v>686</v>
      </c>
    </row>
    <row r="10" ht="15.75" customHeight="1">
      <c r="A10" s="13" t="s">
        <v>599</v>
      </c>
      <c r="B10" s="101">
        <v>44232.0</v>
      </c>
      <c r="C10" s="9" t="s">
        <v>8</v>
      </c>
    </row>
    <row r="11" ht="15.75" customHeight="1">
      <c r="A11" s="13" t="s">
        <v>486</v>
      </c>
      <c r="B11" s="101">
        <v>44232.0</v>
      </c>
      <c r="C11" s="9" t="s">
        <v>8</v>
      </c>
    </row>
    <row r="12" ht="15.75" customHeight="1">
      <c r="A12" s="113" t="s">
        <v>39</v>
      </c>
      <c r="B12" s="114"/>
      <c r="C12" s="115"/>
      <c r="D12" s="114"/>
    </row>
    <row r="13" ht="15.75" customHeight="1">
      <c r="A13" s="32" t="s">
        <v>40</v>
      </c>
      <c r="B13" s="71">
        <v>44232.0</v>
      </c>
      <c r="C13" s="16" t="s">
        <v>8</v>
      </c>
      <c r="D13" s="33" t="s">
        <v>687</v>
      </c>
      <c r="E13" s="27" t="s">
        <v>688</v>
      </c>
    </row>
    <row r="14" ht="15.75" customHeight="1">
      <c r="A14" s="32" t="s">
        <v>44</v>
      </c>
      <c r="B14" s="71">
        <v>44232.0</v>
      </c>
      <c r="C14" s="36" t="s">
        <v>8</v>
      </c>
      <c r="D14" s="37" t="s">
        <v>689</v>
      </c>
      <c r="E14" s="27"/>
    </row>
    <row r="15" ht="15.75" customHeight="1">
      <c r="A15" s="46" t="s">
        <v>48</v>
      </c>
      <c r="B15" s="165">
        <v>44232.0</v>
      </c>
      <c r="C15" s="48" t="s">
        <v>75</v>
      </c>
      <c r="D15" s="49" t="s">
        <v>690</v>
      </c>
      <c r="E15" s="5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46" t="s">
        <v>53</v>
      </c>
      <c r="B16" s="165">
        <v>44232.0</v>
      </c>
      <c r="C16" s="48" t="s">
        <v>601</v>
      </c>
      <c r="D16" s="49" t="s">
        <v>602</v>
      </c>
      <c r="E16" s="27"/>
    </row>
    <row r="17" ht="15.75" customHeight="1">
      <c r="A17" s="35" t="s">
        <v>57</v>
      </c>
      <c r="B17" s="166">
        <v>44232.0</v>
      </c>
      <c r="C17" s="36"/>
      <c r="D17" s="45" t="s">
        <v>691</v>
      </c>
      <c r="E17" s="27"/>
    </row>
    <row r="18" ht="15.75" customHeight="1">
      <c r="A18" s="35" t="s">
        <v>67</v>
      </c>
      <c r="B18" s="166">
        <v>44232.0</v>
      </c>
      <c r="C18" s="36" t="s">
        <v>8</v>
      </c>
      <c r="D18" s="45" t="s">
        <v>692</v>
      </c>
      <c r="E18" s="27"/>
    </row>
    <row r="19" ht="15.75" customHeight="1">
      <c r="A19" s="35" t="s">
        <v>70</v>
      </c>
      <c r="B19" s="166">
        <v>44232.0</v>
      </c>
      <c r="C19" s="36"/>
      <c r="D19" s="45" t="s">
        <v>693</v>
      </c>
      <c r="E19" s="27"/>
    </row>
    <row r="20" ht="15.75" customHeight="1">
      <c r="A20" s="32" t="s">
        <v>694</v>
      </c>
      <c r="B20" s="167">
        <v>44232.0</v>
      </c>
      <c r="C20" s="153" t="s">
        <v>8</v>
      </c>
      <c r="D20" s="33" t="s">
        <v>695</v>
      </c>
      <c r="E20" s="27"/>
    </row>
    <row r="21" ht="15.75" customHeight="1">
      <c r="A21" s="32" t="s">
        <v>696</v>
      </c>
      <c r="B21" s="167">
        <v>44232.0</v>
      </c>
      <c r="C21" s="153" t="s">
        <v>8</v>
      </c>
      <c r="D21" s="33" t="s">
        <v>697</v>
      </c>
      <c r="E21" s="27"/>
    </row>
    <row r="22" ht="15.75" customHeight="1">
      <c r="A22" s="32" t="s">
        <v>492</v>
      </c>
      <c r="B22" s="167">
        <v>44232.0</v>
      </c>
      <c r="C22" s="16" t="s">
        <v>8</v>
      </c>
      <c r="D22" s="33" t="s">
        <v>698</v>
      </c>
      <c r="E22" s="27"/>
    </row>
    <row r="23" ht="15.75" customHeight="1">
      <c r="A23" s="168" t="s">
        <v>603</v>
      </c>
      <c r="B23" s="169">
        <v>44232.0</v>
      </c>
      <c r="C23" s="170" t="s">
        <v>8</v>
      </c>
      <c r="D23" s="171" t="s">
        <v>699</v>
      </c>
      <c r="E23" s="172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</row>
    <row r="24" ht="15.75" customHeight="1">
      <c r="A24" s="121" t="s">
        <v>604</v>
      </c>
      <c r="B24" s="174">
        <v>44232.0</v>
      </c>
      <c r="C24" s="175" t="s">
        <v>8</v>
      </c>
      <c r="D24" s="124" t="s">
        <v>700</v>
      </c>
      <c r="E24" s="42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5.75" customHeight="1">
      <c r="A25" s="34" t="s">
        <v>701</v>
      </c>
      <c r="B25" s="176">
        <v>44232.0</v>
      </c>
      <c r="C25" s="177"/>
      <c r="D25" s="178" t="s">
        <v>221</v>
      </c>
      <c r="E25" s="5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121" t="s">
        <v>606</v>
      </c>
      <c r="B26" s="174">
        <v>44232.0</v>
      </c>
      <c r="C26" s="175" t="s">
        <v>75</v>
      </c>
      <c r="D26" s="124" t="s">
        <v>702</v>
      </c>
      <c r="E26" s="42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5.75" customHeight="1">
      <c r="A27" s="121" t="s">
        <v>703</v>
      </c>
      <c r="B27" s="179">
        <v>44232.0</v>
      </c>
      <c r="C27" s="175" t="s">
        <v>75</v>
      </c>
      <c r="D27" s="124" t="s">
        <v>221</v>
      </c>
      <c r="E27" s="4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5.75" customHeight="1">
      <c r="A28" s="121" t="s">
        <v>704</v>
      </c>
      <c r="B28" s="179">
        <v>44231.0</v>
      </c>
      <c r="C28" s="175" t="s">
        <v>75</v>
      </c>
      <c r="D28" s="124" t="s">
        <v>705</v>
      </c>
      <c r="E28" s="42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5.75" customHeight="1">
      <c r="A29" s="121" t="s">
        <v>706</v>
      </c>
      <c r="B29" s="179">
        <v>44230.0</v>
      </c>
      <c r="C29" s="175" t="s">
        <v>75</v>
      </c>
      <c r="D29" s="124" t="s">
        <v>707</v>
      </c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5.75" customHeight="1">
      <c r="A30" s="121" t="s">
        <v>708</v>
      </c>
      <c r="B30" s="179">
        <v>44230.0</v>
      </c>
      <c r="C30" s="175" t="s">
        <v>75</v>
      </c>
      <c r="D30" s="124" t="s">
        <v>709</v>
      </c>
      <c r="E30" s="42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5.75" customHeight="1">
      <c r="A31" s="32" t="s">
        <v>710</v>
      </c>
      <c r="B31" s="180">
        <v>44232.0</v>
      </c>
      <c r="C31" s="153" t="s">
        <v>51</v>
      </c>
      <c r="D31" s="33" t="s">
        <v>711</v>
      </c>
      <c r="E31" s="27"/>
    </row>
    <row r="32" ht="15.75" customHeight="1">
      <c r="A32" s="32" t="s">
        <v>712</v>
      </c>
      <c r="B32" s="180">
        <v>44232.0</v>
      </c>
      <c r="C32" s="153" t="s">
        <v>51</v>
      </c>
      <c r="D32" s="33" t="s">
        <v>713</v>
      </c>
      <c r="E32" s="27"/>
    </row>
    <row r="33" ht="15.75" customHeight="1">
      <c r="A33" s="113" t="s">
        <v>87</v>
      </c>
      <c r="B33" s="125"/>
      <c r="C33" s="126"/>
      <c r="D33" s="114"/>
    </row>
    <row r="34" ht="15.75" customHeight="1">
      <c r="A34" s="13" t="s">
        <v>495</v>
      </c>
      <c r="B34" s="101">
        <v>44232.0</v>
      </c>
      <c r="C34" s="36" t="s">
        <v>8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5.75" customHeight="1">
      <c r="A35" s="6" t="s">
        <v>497</v>
      </c>
      <c r="B35" s="44">
        <v>44232.0</v>
      </c>
      <c r="C35" s="36" t="s">
        <v>8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6.5" customHeight="1">
      <c r="A36" s="6" t="s">
        <v>498</v>
      </c>
      <c r="B36" s="44">
        <v>44228.0</v>
      </c>
      <c r="C36" s="36" t="s">
        <v>75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6.5" customHeight="1">
      <c r="A37" s="6" t="s">
        <v>499</v>
      </c>
      <c r="B37" s="101">
        <v>44232.0</v>
      </c>
      <c r="C37" s="36" t="s">
        <v>8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13" t="s">
        <v>500</v>
      </c>
      <c r="B38" s="101">
        <v>44232.0</v>
      </c>
      <c r="C38" s="36" t="s">
        <v>75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19" t="s">
        <v>714</v>
      </c>
      <c r="B39" s="101">
        <v>44230.0</v>
      </c>
      <c r="C39" s="36" t="s">
        <v>75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129" t="s">
        <v>715</v>
      </c>
      <c r="B40" s="101">
        <v>44230.0</v>
      </c>
      <c r="C40" s="36" t="s">
        <v>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155" t="s">
        <v>610</v>
      </c>
      <c r="B41" s="101"/>
      <c r="C41" s="3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155" t="s">
        <v>610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6.5" customHeight="1">
      <c r="A43" s="155" t="s">
        <v>610</v>
      </c>
      <c r="B43" s="154"/>
      <c r="C43" s="9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5.75" customHeight="1">
      <c r="A44" s="130" t="s">
        <v>82</v>
      </c>
      <c r="B44" s="125"/>
      <c r="C44" s="114"/>
      <c r="D44" s="114"/>
    </row>
    <row r="45" ht="15.75" customHeight="1">
      <c r="A45" s="19" t="s">
        <v>716</v>
      </c>
      <c r="B45" s="56">
        <v>44232.0</v>
      </c>
      <c r="C45" s="9" t="s">
        <v>75</v>
      </c>
      <c r="D45" s="27" t="s">
        <v>717</v>
      </c>
    </row>
    <row r="46" ht="15.75" customHeight="1">
      <c r="A46" s="19" t="s">
        <v>718</v>
      </c>
      <c r="B46" s="56">
        <v>44232.0</v>
      </c>
      <c r="C46" s="9" t="s">
        <v>75</v>
      </c>
      <c r="D46" s="27" t="s">
        <v>719</v>
      </c>
    </row>
    <row r="47" ht="15.75" customHeight="1">
      <c r="A47" s="19" t="s">
        <v>720</v>
      </c>
      <c r="B47" s="56">
        <v>44232.0</v>
      </c>
      <c r="C47" s="9" t="s">
        <v>75</v>
      </c>
      <c r="D47" s="27" t="s">
        <v>721</v>
      </c>
    </row>
    <row r="48" ht="15.75" customHeight="1">
      <c r="A48" s="131" t="s">
        <v>722</v>
      </c>
      <c r="B48" s="56">
        <v>44232.0</v>
      </c>
      <c r="C48" s="9" t="s">
        <v>75</v>
      </c>
      <c r="D48" s="6" t="s">
        <v>723</v>
      </c>
    </row>
    <row r="49" ht="15.75" customHeight="1">
      <c r="A49" s="131" t="s">
        <v>724</v>
      </c>
      <c r="B49" s="56">
        <v>44232.0</v>
      </c>
      <c r="C49" s="9" t="s">
        <v>75</v>
      </c>
      <c r="D49" s="6" t="s">
        <v>725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5.75" customHeight="1">
      <c r="A50" s="131" t="s">
        <v>726</v>
      </c>
      <c r="B50" s="56">
        <v>44232.0</v>
      </c>
      <c r="C50" s="9" t="s">
        <v>727</v>
      </c>
      <c r="D50" s="6" t="s">
        <v>728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131" t="s">
        <v>729</v>
      </c>
      <c r="B51" s="56">
        <v>44232.0</v>
      </c>
      <c r="C51" s="9" t="s">
        <v>75</v>
      </c>
      <c r="D51" s="6" t="s">
        <v>730</v>
      </c>
    </row>
    <row r="52" ht="15.75" customHeight="1">
      <c r="A52" s="19" t="s">
        <v>731</v>
      </c>
      <c r="B52" s="56">
        <v>44232.0</v>
      </c>
      <c r="C52" s="9" t="s">
        <v>75</v>
      </c>
      <c r="D52" s="6" t="s">
        <v>732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customHeight="1">
      <c r="A53" s="131" t="s">
        <v>733</v>
      </c>
      <c r="B53" s="56">
        <v>44232.0</v>
      </c>
      <c r="C53" s="9" t="s">
        <v>75</v>
      </c>
      <c r="D53" s="6" t="s">
        <v>734</v>
      </c>
    </row>
    <row r="54" ht="15.75" customHeight="1">
      <c r="A54" s="131" t="s">
        <v>735</v>
      </c>
      <c r="B54" s="56">
        <v>44232.0</v>
      </c>
      <c r="C54" s="9" t="s">
        <v>75</v>
      </c>
      <c r="D54" s="6" t="s">
        <v>736</v>
      </c>
    </row>
    <row r="55" ht="15.75" customHeight="1">
      <c r="A55" s="131" t="s">
        <v>737</v>
      </c>
      <c r="B55" s="56">
        <v>44232.0</v>
      </c>
      <c r="C55" s="9" t="s">
        <v>75</v>
      </c>
      <c r="D55" s="6" t="s">
        <v>738</v>
      </c>
    </row>
    <row r="56" ht="15.75" customHeight="1">
      <c r="A56" s="131" t="s">
        <v>739</v>
      </c>
      <c r="B56" s="56">
        <v>44597.0</v>
      </c>
      <c r="C56" s="9" t="s">
        <v>75</v>
      </c>
      <c r="D56" s="6" t="s">
        <v>740</v>
      </c>
    </row>
    <row r="57" ht="15.75" customHeight="1">
      <c r="A57" s="131" t="s">
        <v>741</v>
      </c>
      <c r="B57" s="56">
        <v>44232.0</v>
      </c>
      <c r="C57" s="9" t="s">
        <v>75</v>
      </c>
      <c r="D57" s="6" t="s">
        <v>738</v>
      </c>
    </row>
    <row r="58" ht="15.75" customHeight="1">
      <c r="A58" s="131" t="s">
        <v>742</v>
      </c>
      <c r="B58" s="56">
        <v>44232.0</v>
      </c>
      <c r="C58" s="9" t="s">
        <v>75</v>
      </c>
      <c r="D58" s="6" t="s">
        <v>743</v>
      </c>
    </row>
    <row r="59" ht="15.75" customHeight="1">
      <c r="A59" s="131" t="s">
        <v>744</v>
      </c>
      <c r="B59" s="56">
        <v>44232.0</v>
      </c>
      <c r="C59" s="9" t="s">
        <v>75</v>
      </c>
      <c r="D59" s="6" t="s">
        <v>745</v>
      </c>
    </row>
    <row r="60" ht="15.75" customHeight="1">
      <c r="A60" s="131" t="s">
        <v>746</v>
      </c>
      <c r="B60" s="56">
        <v>44232.0</v>
      </c>
      <c r="C60" s="9" t="s">
        <v>75</v>
      </c>
      <c r="D60" s="6" t="s">
        <v>747</v>
      </c>
    </row>
    <row r="61" ht="15.75" customHeight="1">
      <c r="A61" s="131" t="s">
        <v>748</v>
      </c>
      <c r="B61" s="56">
        <v>44232.0</v>
      </c>
      <c r="C61" s="9" t="s">
        <v>75</v>
      </c>
      <c r="D61" s="6" t="s">
        <v>749</v>
      </c>
    </row>
    <row r="62" ht="15.75" customHeight="1">
      <c r="A62" s="130" t="s">
        <v>9</v>
      </c>
      <c r="B62" s="134"/>
      <c r="C62" s="114"/>
      <c r="D62" s="114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15.75" customHeight="1">
      <c r="A63" s="13" t="s">
        <v>10</v>
      </c>
      <c r="B63" s="7" t="s">
        <v>11</v>
      </c>
      <c r="C63" s="9" t="s">
        <v>8</v>
      </c>
      <c r="D63" s="6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5.75" customHeight="1">
      <c r="A64" s="13" t="s">
        <v>12</v>
      </c>
      <c r="B64" s="7" t="s">
        <v>11</v>
      </c>
      <c r="C64" s="9" t="s">
        <v>8</v>
      </c>
      <c r="D64" s="6"/>
    </row>
    <row r="65" ht="15.75" customHeight="1">
      <c r="A65" s="13" t="s">
        <v>13</v>
      </c>
      <c r="B65" s="7" t="s">
        <v>14</v>
      </c>
      <c r="C65" s="9" t="s">
        <v>8</v>
      </c>
      <c r="D65" s="6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5.75" customHeight="1">
      <c r="A66" s="13" t="s">
        <v>15</v>
      </c>
      <c r="B66" s="7" t="s">
        <v>16</v>
      </c>
      <c r="C66" s="9" t="s">
        <v>8</v>
      </c>
      <c r="D66" s="27" t="s">
        <v>17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15.75" customHeight="1">
      <c r="A67" s="13" t="s">
        <v>18</v>
      </c>
      <c r="B67" s="7" t="s">
        <v>16</v>
      </c>
      <c r="C67" s="9" t="s">
        <v>8</v>
      </c>
      <c r="D67" s="6" t="s">
        <v>19</v>
      </c>
    </row>
    <row r="68" ht="15.75" customHeight="1">
      <c r="A68" s="19" t="s">
        <v>20</v>
      </c>
      <c r="B68" s="26" t="s">
        <v>16</v>
      </c>
      <c r="C68" s="9" t="s">
        <v>8</v>
      </c>
      <c r="D68" s="6" t="s">
        <v>21</v>
      </c>
    </row>
    <row r="69" ht="15.75" customHeight="1">
      <c r="A69" s="13" t="s">
        <v>750</v>
      </c>
      <c r="B69" s="7" t="s">
        <v>751</v>
      </c>
      <c r="C69" s="9" t="s">
        <v>8</v>
      </c>
      <c r="D69" s="135"/>
    </row>
    <row r="70" ht="15.75" customHeight="1">
      <c r="A70" s="13" t="s">
        <v>637</v>
      </c>
      <c r="B70" s="7" t="s">
        <v>638</v>
      </c>
      <c r="C70" s="9" t="s">
        <v>8</v>
      </c>
      <c r="D70" s="135"/>
    </row>
    <row r="71" ht="15.75" customHeight="1">
      <c r="A71" s="13" t="s">
        <v>540</v>
      </c>
      <c r="B71" s="26"/>
      <c r="C71" s="9" t="s">
        <v>8</v>
      </c>
      <c r="D71" s="6" t="s">
        <v>541</v>
      </c>
    </row>
    <row r="72" ht="15.75" customHeight="1">
      <c r="A72" s="136" t="s">
        <v>543</v>
      </c>
      <c r="B72" s="26"/>
      <c r="C72" s="9" t="s">
        <v>8</v>
      </c>
      <c r="D72" s="8" t="s">
        <v>752</v>
      </c>
    </row>
    <row r="73" ht="15.75" customHeight="1">
      <c r="A73" s="19" t="s">
        <v>544</v>
      </c>
      <c r="B73" s="26"/>
      <c r="C73" s="9" t="s">
        <v>8</v>
      </c>
      <c r="D73" s="6"/>
    </row>
    <row r="74" ht="15.75" customHeight="1">
      <c r="A74" s="13" t="s">
        <v>34</v>
      </c>
      <c r="B74" s="7"/>
      <c r="C74" s="9" t="s">
        <v>8</v>
      </c>
      <c r="D74" s="6" t="s">
        <v>643</v>
      </c>
    </row>
    <row r="75" ht="15.75" customHeight="1">
      <c r="A75" s="19" t="s">
        <v>36</v>
      </c>
      <c r="B75" s="26"/>
      <c r="C75" s="9" t="s">
        <v>8</v>
      </c>
      <c r="D75" s="6"/>
    </row>
    <row r="76" ht="15.75" customHeight="1">
      <c r="A76" s="137" t="s">
        <v>37</v>
      </c>
      <c r="B76" s="26"/>
      <c r="C76" s="9" t="s">
        <v>8</v>
      </c>
      <c r="D76" s="6" t="s">
        <v>545</v>
      </c>
    </row>
    <row r="77" ht="15.75" customHeight="1">
      <c r="A77" s="117" t="s">
        <v>98</v>
      </c>
      <c r="B77" s="114"/>
      <c r="C77" s="114"/>
      <c r="D77" s="114"/>
    </row>
    <row r="78" ht="15.75" customHeight="1">
      <c r="A78" s="13" t="s">
        <v>107</v>
      </c>
      <c r="B78" s="6" t="s">
        <v>644</v>
      </c>
      <c r="C78" s="19" t="s">
        <v>645</v>
      </c>
      <c r="D78" s="6"/>
    </row>
    <row r="79" ht="15.75" customHeight="1">
      <c r="A79" s="13" t="s">
        <v>274</v>
      </c>
      <c r="B79" s="6" t="s">
        <v>753</v>
      </c>
      <c r="C79" s="66" t="s">
        <v>647</v>
      </c>
      <c r="D79" s="6" t="s">
        <v>754</v>
      </c>
    </row>
    <row r="80" ht="15.75" customHeight="1">
      <c r="A80" s="13" t="s">
        <v>111</v>
      </c>
      <c r="B80" s="6" t="s">
        <v>552</v>
      </c>
      <c r="C80" s="66" t="s">
        <v>647</v>
      </c>
      <c r="D80" s="6" t="s">
        <v>648</v>
      </c>
    </row>
    <row r="81" ht="15.75" customHeight="1">
      <c r="A81" s="13" t="s">
        <v>113</v>
      </c>
      <c r="B81" s="6" t="s">
        <v>552</v>
      </c>
      <c r="C81" s="19" t="s">
        <v>8</v>
      </c>
      <c r="D81" s="6" t="s">
        <v>649</v>
      </c>
    </row>
    <row r="82" ht="15.75" customHeight="1">
      <c r="A82" s="13" t="s">
        <v>382</v>
      </c>
      <c r="B82" s="6" t="s">
        <v>552</v>
      </c>
      <c r="C82" s="66" t="s">
        <v>647</v>
      </c>
      <c r="D82" s="6" t="s">
        <v>648</v>
      </c>
    </row>
    <row r="83" ht="15.75" customHeight="1">
      <c r="A83" s="13" t="s">
        <v>384</v>
      </c>
      <c r="B83" s="6" t="s">
        <v>552</v>
      </c>
      <c r="C83" s="66" t="s">
        <v>647</v>
      </c>
      <c r="D83" s="6" t="s">
        <v>650</v>
      </c>
    </row>
    <row r="84" ht="15.75" customHeight="1">
      <c r="A84" s="13" t="s">
        <v>386</v>
      </c>
      <c r="B84" s="6" t="s">
        <v>552</v>
      </c>
      <c r="C84" s="66" t="s">
        <v>647</v>
      </c>
      <c r="D84" s="6" t="s">
        <v>648</v>
      </c>
    </row>
    <row r="85" ht="15.75" customHeight="1">
      <c r="A85" s="13" t="s">
        <v>555</v>
      </c>
      <c r="B85" s="6" t="s">
        <v>552</v>
      </c>
      <c r="C85" s="66" t="s">
        <v>647</v>
      </c>
      <c r="D85" s="6" t="s">
        <v>648</v>
      </c>
    </row>
    <row r="86" ht="15.75" customHeight="1">
      <c r="A86" s="13" t="s">
        <v>557</v>
      </c>
      <c r="B86" s="6" t="s">
        <v>552</v>
      </c>
      <c r="C86" s="66" t="s">
        <v>647</v>
      </c>
      <c r="D86" s="6" t="s">
        <v>648</v>
      </c>
    </row>
    <row r="87" ht="15.75" customHeight="1">
      <c r="A87" s="13" t="s">
        <v>559</v>
      </c>
      <c r="B87" s="6" t="s">
        <v>552</v>
      </c>
      <c r="C87" s="66" t="s">
        <v>647</v>
      </c>
      <c r="D87" s="6" t="s">
        <v>648</v>
      </c>
    </row>
    <row r="88" ht="15.75" customHeight="1">
      <c r="A88" s="13" t="s">
        <v>651</v>
      </c>
      <c r="B88" s="6" t="s">
        <v>552</v>
      </c>
      <c r="C88" s="66" t="s">
        <v>647</v>
      </c>
      <c r="D88" s="6" t="s">
        <v>648</v>
      </c>
    </row>
    <row r="89" ht="15.75" customHeight="1">
      <c r="A89" s="13" t="s">
        <v>755</v>
      </c>
      <c r="B89" s="6" t="s">
        <v>756</v>
      </c>
      <c r="C89" s="106" t="s">
        <v>8</v>
      </c>
      <c r="D89" s="6" t="s">
        <v>757</v>
      </c>
    </row>
    <row r="90" ht="15.75" customHeight="1">
      <c r="A90" s="13" t="s">
        <v>560</v>
      </c>
      <c r="B90" s="6" t="s">
        <v>561</v>
      </c>
      <c r="C90" s="66" t="s">
        <v>647</v>
      </c>
      <c r="D90" s="6"/>
    </row>
    <row r="91" ht="15.75" customHeight="1">
      <c r="A91" s="19" t="s">
        <v>655</v>
      </c>
      <c r="B91" s="160" t="s">
        <v>638</v>
      </c>
      <c r="C91" s="66" t="s">
        <v>647</v>
      </c>
      <c r="D91" s="6"/>
    </row>
    <row r="92" ht="15.75" customHeight="1">
      <c r="A92" s="19" t="s">
        <v>656</v>
      </c>
      <c r="B92" s="160" t="s">
        <v>657</v>
      </c>
      <c r="C92" s="66" t="s">
        <v>647</v>
      </c>
      <c r="D92" s="6"/>
    </row>
    <row r="93" ht="15.75" customHeight="1">
      <c r="A93" s="19" t="s">
        <v>658</v>
      </c>
      <c r="B93" s="160" t="s">
        <v>561</v>
      </c>
      <c r="C93" s="66" t="s">
        <v>23</v>
      </c>
      <c r="D93" s="6" t="s">
        <v>758</v>
      </c>
    </row>
    <row r="94" ht="15.75" customHeight="1">
      <c r="A94" s="19" t="s">
        <v>659</v>
      </c>
      <c r="B94" s="160" t="s">
        <v>552</v>
      </c>
      <c r="C94" s="66" t="s">
        <v>23</v>
      </c>
      <c r="D94" s="6"/>
    </row>
    <row r="95" ht="15.75" customHeight="1">
      <c r="A95" s="181" t="s">
        <v>660</v>
      </c>
      <c r="B95" s="160" t="s">
        <v>657</v>
      </c>
      <c r="C95" s="106" t="s">
        <v>8</v>
      </c>
      <c r="D95" s="6"/>
    </row>
    <row r="96" ht="15.75" customHeight="1">
      <c r="A96" s="19" t="s">
        <v>662</v>
      </c>
      <c r="B96" s="160" t="s">
        <v>663</v>
      </c>
      <c r="C96" s="106"/>
      <c r="D96" s="6"/>
    </row>
    <row r="97" ht="15.75" customHeight="1">
      <c r="A97" s="19" t="s">
        <v>759</v>
      </c>
      <c r="B97" s="160" t="s">
        <v>561</v>
      </c>
      <c r="C97" s="66" t="s">
        <v>23</v>
      </c>
      <c r="D97" s="6"/>
    </row>
    <row r="98" ht="15.75" customHeight="1">
      <c r="A98" s="106" t="s">
        <v>760</v>
      </c>
      <c r="B98" s="160" t="s">
        <v>657</v>
      </c>
      <c r="C98" s="66" t="s">
        <v>23</v>
      </c>
      <c r="D98" s="6"/>
    </row>
    <row r="99" ht="15.75" customHeight="1">
      <c r="A99" s="19" t="s">
        <v>761</v>
      </c>
      <c r="B99" s="160" t="s">
        <v>657</v>
      </c>
      <c r="C99" s="66" t="s">
        <v>23</v>
      </c>
      <c r="D99" s="6"/>
    </row>
    <row r="100" ht="15.75" customHeight="1">
      <c r="A100" s="19" t="s">
        <v>762</v>
      </c>
      <c r="B100" s="160" t="s">
        <v>763</v>
      </c>
      <c r="C100" s="66" t="s">
        <v>23</v>
      </c>
      <c r="D100" s="6"/>
    </row>
    <row r="101" ht="15.75" customHeight="1">
      <c r="A101" s="19" t="s">
        <v>764</v>
      </c>
      <c r="B101" s="160" t="s">
        <v>765</v>
      </c>
      <c r="C101" s="106" t="s">
        <v>8</v>
      </c>
      <c r="D101" s="6"/>
    </row>
    <row r="102" ht="15.75" customHeight="1">
      <c r="A102" s="106" t="s">
        <v>766</v>
      </c>
      <c r="B102" s="160" t="s">
        <v>763</v>
      </c>
      <c r="C102" s="66" t="s">
        <v>23</v>
      </c>
      <c r="D102" s="6"/>
    </row>
    <row r="103" ht="15.75" customHeight="1">
      <c r="A103" s="106" t="s">
        <v>767</v>
      </c>
      <c r="B103" s="160" t="s">
        <v>768</v>
      </c>
      <c r="C103" s="106" t="s">
        <v>8</v>
      </c>
      <c r="D103" s="160" t="s">
        <v>769</v>
      </c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</row>
    <row r="104" ht="15.75" customHeight="1">
      <c r="A104" s="106" t="s">
        <v>770</v>
      </c>
      <c r="B104" s="160" t="s">
        <v>768</v>
      </c>
      <c r="C104" s="106" t="s">
        <v>8</v>
      </c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</row>
    <row r="105" ht="15.75" customHeight="1">
      <c r="A105" s="106" t="s">
        <v>771</v>
      </c>
      <c r="B105" s="160" t="s">
        <v>772</v>
      </c>
      <c r="C105" s="106" t="s">
        <v>8</v>
      </c>
      <c r="D105" s="160" t="s">
        <v>773</v>
      </c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</row>
    <row r="106" ht="15.75" customHeight="1">
      <c r="A106" s="181" t="s">
        <v>774</v>
      </c>
      <c r="B106" s="160" t="s">
        <v>768</v>
      </c>
      <c r="C106" s="106" t="s">
        <v>8</v>
      </c>
      <c r="D106" s="160" t="s">
        <v>775</v>
      </c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</row>
    <row r="107" ht="15.75" customHeight="1">
      <c r="A107" s="106" t="s">
        <v>776</v>
      </c>
      <c r="B107" s="160" t="s">
        <v>772</v>
      </c>
      <c r="C107" s="106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</row>
    <row r="108" ht="15.75" customHeight="1">
      <c r="A108" s="117" t="s">
        <v>565</v>
      </c>
      <c r="B108" s="142"/>
      <c r="C108" s="114"/>
      <c r="D108" s="114"/>
    </row>
    <row r="109" ht="15.75" customHeight="1">
      <c r="A109" s="13" t="s">
        <v>668</v>
      </c>
      <c r="B109" s="143">
        <v>44228.0</v>
      </c>
      <c r="C109" s="182" t="s">
        <v>777</v>
      </c>
      <c r="D109" s="6"/>
    </row>
    <row r="110" ht="15.75" customHeight="1">
      <c r="A110" s="13" t="s">
        <v>578</v>
      </c>
      <c r="B110" s="143">
        <v>44229.0</v>
      </c>
      <c r="C110" s="182" t="s">
        <v>777</v>
      </c>
      <c r="D110" s="6"/>
    </row>
    <row r="111" ht="15.75" customHeight="1">
      <c r="A111" s="19" t="s">
        <v>580</v>
      </c>
      <c r="B111" s="143">
        <v>44230.0</v>
      </c>
      <c r="C111" s="67" t="s">
        <v>574</v>
      </c>
      <c r="D111" s="6" t="s">
        <v>581</v>
      </c>
    </row>
    <row r="112" ht="15.75" customHeight="1">
      <c r="A112" s="13" t="s">
        <v>582</v>
      </c>
      <c r="B112" s="143">
        <v>44230.0</v>
      </c>
      <c r="C112" s="182" t="s">
        <v>777</v>
      </c>
      <c r="D112" s="6"/>
    </row>
    <row r="113" ht="15.75" customHeight="1">
      <c r="A113" s="19" t="s">
        <v>584</v>
      </c>
      <c r="B113" s="143">
        <v>44230.0</v>
      </c>
      <c r="C113" s="96" t="s">
        <v>129</v>
      </c>
      <c r="D113" s="6"/>
    </row>
    <row r="114" ht="15.75" customHeight="1">
      <c r="A114" s="13" t="s">
        <v>573</v>
      </c>
      <c r="B114" s="143">
        <v>44232.0</v>
      </c>
      <c r="C114" s="144" t="s">
        <v>574</v>
      </c>
      <c r="D114" s="6"/>
    </row>
    <row r="115" ht="15.75" customHeight="1">
      <c r="A115" s="19" t="s">
        <v>583</v>
      </c>
      <c r="B115" s="143">
        <v>44232.0</v>
      </c>
      <c r="C115" s="96" t="s">
        <v>129</v>
      </c>
      <c r="D115" s="6"/>
    </row>
    <row r="116" ht="15.75" customHeight="1">
      <c r="A116" s="19" t="s">
        <v>579</v>
      </c>
      <c r="B116" s="143">
        <v>44260.0</v>
      </c>
      <c r="C116" s="96" t="s">
        <v>129</v>
      </c>
      <c r="D116" s="6"/>
    </row>
    <row r="117" ht="15.75" customHeight="1">
      <c r="A117" s="147"/>
      <c r="B117" s="146"/>
      <c r="C117" s="161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 ht="15.75" customHeight="1">
      <c r="A118" s="13" t="s">
        <v>577</v>
      </c>
      <c r="B118" s="143"/>
      <c r="C118" s="19"/>
      <c r="D118" s="6"/>
    </row>
    <row r="119" ht="15.75" customHeight="1">
      <c r="A119" s="13" t="s">
        <v>131</v>
      </c>
      <c r="B119" s="143"/>
      <c r="C119" s="19"/>
      <c r="D119" s="6"/>
    </row>
    <row r="120" ht="15.75" customHeight="1">
      <c r="A120" s="19" t="s">
        <v>139</v>
      </c>
      <c r="B120" s="6"/>
      <c r="C120" s="6"/>
      <c r="D120" s="6"/>
    </row>
    <row r="121" ht="15.75" customHeight="1">
      <c r="A121" s="19" t="s">
        <v>141</v>
      </c>
      <c r="B121" s="56"/>
      <c r="C121" s="6"/>
      <c r="D121" s="6"/>
    </row>
    <row r="122" ht="15.75" customHeight="1">
      <c r="A122" s="19" t="s">
        <v>142</v>
      </c>
      <c r="B122" s="56"/>
      <c r="C122" s="6"/>
      <c r="D122" s="6"/>
    </row>
    <row r="123" ht="15.75" customHeight="1">
      <c r="A123" s="130" t="s">
        <v>143</v>
      </c>
      <c r="B123" s="125"/>
      <c r="C123" s="114"/>
      <c r="D123" s="114"/>
    </row>
    <row r="124" ht="15.75" customHeight="1">
      <c r="A124" s="89" t="s">
        <v>778</v>
      </c>
      <c r="B124" s="149">
        <v>44230.0</v>
      </c>
      <c r="C124" s="89" t="s">
        <v>23</v>
      </c>
      <c r="D124" s="99"/>
    </row>
    <row r="125" ht="15.75" customHeight="1">
      <c r="A125" s="89" t="s">
        <v>779</v>
      </c>
      <c r="B125" s="149">
        <v>44231.0</v>
      </c>
      <c r="C125" s="89" t="s">
        <v>23</v>
      </c>
      <c r="D125" s="99"/>
    </row>
    <row r="126" ht="15.75" customHeight="1">
      <c r="A126" s="89" t="s">
        <v>780</v>
      </c>
      <c r="B126" s="162">
        <v>44232.0</v>
      </c>
      <c r="C126" s="99" t="s">
        <v>23</v>
      </c>
      <c r="D126" s="99" t="s">
        <v>781</v>
      </c>
    </row>
    <row r="127" ht="15.75" customHeight="1">
      <c r="A127" s="89" t="s">
        <v>782</v>
      </c>
      <c r="B127" s="162">
        <v>44232.0</v>
      </c>
      <c r="C127" s="99" t="s">
        <v>23</v>
      </c>
      <c r="D127" s="99" t="s">
        <v>783</v>
      </c>
    </row>
    <row r="128" ht="15.75" customHeight="1">
      <c r="A128" s="89" t="s">
        <v>784</v>
      </c>
      <c r="B128" s="162">
        <v>44229.0</v>
      </c>
      <c r="C128" s="99" t="s">
        <v>23</v>
      </c>
      <c r="D128" s="99" t="s">
        <v>785</v>
      </c>
    </row>
    <row r="129" ht="15.75" customHeight="1">
      <c r="A129" s="89" t="s">
        <v>786</v>
      </c>
      <c r="B129" s="162">
        <v>44229.0</v>
      </c>
      <c r="C129" s="99" t="s">
        <v>23</v>
      </c>
      <c r="D129" s="99"/>
    </row>
    <row r="130" ht="15.75" customHeight="1">
      <c r="A130" s="89" t="s">
        <v>787</v>
      </c>
      <c r="B130" s="162">
        <v>44232.0</v>
      </c>
      <c r="C130" s="99" t="s">
        <v>23</v>
      </c>
      <c r="D130" s="99"/>
    </row>
    <row r="131" ht="15.75" customHeight="1">
      <c r="A131" s="117" t="s">
        <v>147</v>
      </c>
      <c r="B131" s="151"/>
      <c r="C131" s="114"/>
      <c r="D131" s="114"/>
    </row>
    <row r="132" ht="15.75" customHeight="1">
      <c r="A132" s="19" t="s">
        <v>788</v>
      </c>
      <c r="B132" s="150">
        <v>44242.0</v>
      </c>
      <c r="C132" s="19" t="s">
        <v>789</v>
      </c>
      <c r="D132" s="6"/>
    </row>
    <row r="133" ht="15.75" customHeight="1">
      <c r="A133" s="66" t="s">
        <v>790</v>
      </c>
      <c r="B133" s="150">
        <v>44242.0</v>
      </c>
      <c r="C133" s="19" t="s">
        <v>791</v>
      </c>
      <c r="D133" s="6"/>
    </row>
    <row r="134" ht="15.75" customHeight="1">
      <c r="A134" s="19" t="s">
        <v>158</v>
      </c>
      <c r="B134" s="150">
        <v>44237.0</v>
      </c>
      <c r="C134" s="19" t="s">
        <v>8</v>
      </c>
      <c r="D134" s="6"/>
    </row>
    <row r="135" ht="15.75" customHeight="1">
      <c r="A135" s="19" t="s">
        <v>399</v>
      </c>
      <c r="B135" s="150">
        <v>44232.0</v>
      </c>
      <c r="C135" s="19" t="s">
        <v>23</v>
      </c>
      <c r="D135" s="6"/>
    </row>
    <row r="136" ht="15.75" customHeight="1">
      <c r="A136" s="19" t="s">
        <v>400</v>
      </c>
      <c r="B136" s="150">
        <v>44255.0</v>
      </c>
      <c r="C136" s="19" t="s">
        <v>8</v>
      </c>
      <c r="D136" s="6"/>
    </row>
    <row r="137" ht="15.75" customHeight="1">
      <c r="A137" s="19" t="s">
        <v>792</v>
      </c>
      <c r="B137" s="183" t="s">
        <v>793</v>
      </c>
      <c r="C137" s="19" t="s">
        <v>152</v>
      </c>
      <c r="D137" s="6"/>
    </row>
    <row r="138" ht="15.75" customHeight="1">
      <c r="A138" s="19" t="s">
        <v>794</v>
      </c>
      <c r="B138" s="164">
        <v>44255.0</v>
      </c>
      <c r="C138" s="19" t="s">
        <v>23</v>
      </c>
    </row>
    <row r="139" ht="15.75" customHeight="1">
      <c r="A139" s="19" t="s">
        <v>795</v>
      </c>
      <c r="B139" s="164">
        <v>44255.0</v>
      </c>
      <c r="C139" s="19" t="s">
        <v>796</v>
      </c>
    </row>
    <row r="140" ht="15.75" customHeight="1">
      <c r="A140" s="19" t="s">
        <v>683</v>
      </c>
      <c r="B140" s="164">
        <v>44255.0</v>
      </c>
      <c r="C140" s="19" t="s">
        <v>8</v>
      </c>
    </row>
    <row r="141" ht="15.75" customHeight="1">
      <c r="A141" s="19" t="s">
        <v>797</v>
      </c>
      <c r="B141" s="164">
        <v>44232.0</v>
      </c>
      <c r="C141" s="19" t="s">
        <v>798</v>
      </c>
    </row>
    <row r="142" ht="15.75" customHeight="1">
      <c r="A142" s="19" t="s">
        <v>799</v>
      </c>
      <c r="B142" s="164">
        <v>44237.0</v>
      </c>
      <c r="C142" s="19" t="s">
        <v>800</v>
      </c>
    </row>
    <row r="143" ht="15.75" customHeight="1">
      <c r="A143" s="19" t="s">
        <v>801</v>
      </c>
      <c r="B143" s="164">
        <v>44237.0</v>
      </c>
      <c r="C143" s="19" t="s">
        <v>802</v>
      </c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>
      <c r="A338" s="19"/>
      <c r="C338" s="19"/>
    </row>
    <row r="339" ht="15.75" customHeight="1">
      <c r="A339" s="19"/>
      <c r="C339" s="19"/>
    </row>
    <row r="340" ht="15.75" customHeight="1">
      <c r="A340" s="19"/>
      <c r="C340" s="19"/>
    </row>
    <row r="341" ht="15.75" customHeight="1">
      <c r="A341" s="19"/>
      <c r="C341" s="19"/>
    </row>
    <row r="342" ht="15.75" customHeight="1">
      <c r="A342" s="19"/>
      <c r="C342" s="19"/>
    </row>
    <row r="343" ht="15.75" customHeight="1">
      <c r="A343" s="19"/>
      <c r="C343" s="19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24:A125">
    <cfRule type="notContainsBlanks" dxfId="0" priority="1">
      <formula>LEN(TRIM(A124))&gt;0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0.38"/>
    <col customWidth="1" min="2" max="2" width="18.63"/>
    <col customWidth="1" min="3" max="3" width="21.63"/>
    <col customWidth="1" min="4" max="4" width="66.5"/>
    <col customWidth="1" min="5" max="6" width="12.63"/>
  </cols>
  <sheetData>
    <row r="1" ht="15.75" customHeight="1">
      <c r="A1" s="111" t="s">
        <v>0</v>
      </c>
      <c r="B1" s="112" t="s">
        <v>1</v>
      </c>
      <c r="C1" s="111" t="s">
        <v>2</v>
      </c>
      <c r="D1" s="112" t="s">
        <v>3</v>
      </c>
    </row>
    <row r="2" ht="15.75" customHeight="1">
      <c r="A2" s="113" t="s">
        <v>592</v>
      </c>
      <c r="B2" s="114"/>
      <c r="C2" s="115"/>
      <c r="D2" s="114"/>
    </row>
    <row r="3" ht="15.75" customHeight="1">
      <c r="A3" s="6" t="s">
        <v>343</v>
      </c>
      <c r="B3" s="7"/>
      <c r="C3" s="9" t="s">
        <v>8</v>
      </c>
      <c r="D3" s="6" t="s">
        <v>803</v>
      </c>
    </row>
    <row r="4" ht="15.75" customHeight="1">
      <c r="A4" s="6" t="s">
        <v>804</v>
      </c>
      <c r="B4" s="101"/>
      <c r="C4" s="9" t="s">
        <v>180</v>
      </c>
    </row>
    <row r="5" ht="15.75" customHeight="1">
      <c r="A5" s="117" t="s">
        <v>80</v>
      </c>
      <c r="B5" s="118"/>
      <c r="C5" s="119"/>
      <c r="D5" s="114"/>
    </row>
    <row r="6" ht="15.75" customHeight="1">
      <c r="A6" s="13" t="s">
        <v>480</v>
      </c>
      <c r="B6" s="101">
        <v>44239.0</v>
      </c>
      <c r="C6" s="9" t="s">
        <v>8</v>
      </c>
      <c r="D6" s="6" t="s">
        <v>686</v>
      </c>
    </row>
    <row r="7" ht="15.75" customHeight="1">
      <c r="A7" s="13" t="s">
        <v>599</v>
      </c>
      <c r="B7" s="101">
        <v>44239.0</v>
      </c>
      <c r="C7" s="9" t="s">
        <v>8</v>
      </c>
    </row>
    <row r="8" ht="15.75" customHeight="1">
      <c r="A8" s="13" t="s">
        <v>805</v>
      </c>
      <c r="B8" s="101">
        <v>44237.0</v>
      </c>
      <c r="C8" s="9" t="s">
        <v>8</v>
      </c>
    </row>
    <row r="9" ht="15.75" customHeight="1">
      <c r="A9" s="13" t="s">
        <v>806</v>
      </c>
      <c r="B9" s="101">
        <v>44239.0</v>
      </c>
      <c r="C9" s="9" t="s">
        <v>75</v>
      </c>
    </row>
    <row r="10" ht="15.75" customHeight="1">
      <c r="A10" s="13" t="s">
        <v>807</v>
      </c>
      <c r="B10" s="101">
        <v>44239.0</v>
      </c>
      <c r="C10" s="9" t="s">
        <v>75</v>
      </c>
    </row>
    <row r="11" ht="15.75" customHeight="1">
      <c r="A11" s="13" t="s">
        <v>486</v>
      </c>
      <c r="B11" s="101">
        <v>44239.0</v>
      </c>
      <c r="C11" s="9" t="s">
        <v>8</v>
      </c>
    </row>
    <row r="12" ht="15.75" customHeight="1">
      <c r="A12" s="113" t="s">
        <v>39</v>
      </c>
      <c r="B12" s="114"/>
      <c r="C12" s="115"/>
      <c r="D12" s="114"/>
    </row>
    <row r="13" ht="15.75" customHeight="1">
      <c r="A13" s="32" t="s">
        <v>40</v>
      </c>
      <c r="B13" s="71">
        <v>44239.0</v>
      </c>
      <c r="C13" s="16" t="s">
        <v>8</v>
      </c>
      <c r="D13" s="33" t="s">
        <v>808</v>
      </c>
      <c r="E13" s="27" t="s">
        <v>688</v>
      </c>
    </row>
    <row r="14" ht="15.75" customHeight="1">
      <c r="A14" s="32" t="s">
        <v>44</v>
      </c>
      <c r="B14" s="71">
        <v>44239.0</v>
      </c>
      <c r="C14" s="36" t="s">
        <v>8</v>
      </c>
      <c r="D14" s="37" t="s">
        <v>809</v>
      </c>
      <c r="E14" s="27"/>
    </row>
    <row r="15" ht="15.75" customHeight="1">
      <c r="A15" s="46" t="s">
        <v>48</v>
      </c>
      <c r="B15" s="165">
        <v>44239.0</v>
      </c>
      <c r="C15" s="48" t="s">
        <v>75</v>
      </c>
      <c r="D15" s="49" t="s">
        <v>810</v>
      </c>
      <c r="E15" s="5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5" t="s">
        <v>57</v>
      </c>
      <c r="B16" s="166">
        <v>44256.0</v>
      </c>
      <c r="C16" s="36" t="s">
        <v>8</v>
      </c>
      <c r="D16" s="45" t="s">
        <v>811</v>
      </c>
      <c r="E16" s="27"/>
    </row>
    <row r="17" ht="15.75" customHeight="1">
      <c r="A17" s="35" t="s">
        <v>67</v>
      </c>
      <c r="B17" s="166">
        <v>44239.0</v>
      </c>
      <c r="C17" s="36" t="s">
        <v>8</v>
      </c>
      <c r="D17" s="45" t="s">
        <v>692</v>
      </c>
      <c r="E17" s="27"/>
    </row>
    <row r="18" ht="15.75" customHeight="1">
      <c r="A18" s="35" t="s">
        <v>70</v>
      </c>
      <c r="B18" s="166">
        <v>44239.0</v>
      </c>
      <c r="C18" s="36" t="s">
        <v>8</v>
      </c>
      <c r="D18" s="45" t="s">
        <v>812</v>
      </c>
      <c r="E18" s="27"/>
    </row>
    <row r="19" ht="15.75" customHeight="1">
      <c r="A19" s="121" t="s">
        <v>694</v>
      </c>
      <c r="B19" s="174">
        <v>44239.0</v>
      </c>
      <c r="C19" s="175" t="s">
        <v>75</v>
      </c>
      <c r="D19" s="124" t="s">
        <v>695</v>
      </c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5.75" customHeight="1">
      <c r="A20" s="121" t="s">
        <v>696</v>
      </c>
      <c r="B20" s="174">
        <v>44235.0</v>
      </c>
      <c r="C20" s="175" t="s">
        <v>75</v>
      </c>
      <c r="D20" s="124" t="s">
        <v>697</v>
      </c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5.75" customHeight="1">
      <c r="A21" s="32" t="s">
        <v>492</v>
      </c>
      <c r="B21" s="167">
        <v>44239.0</v>
      </c>
      <c r="C21" s="16" t="s">
        <v>8</v>
      </c>
      <c r="D21" s="33" t="s">
        <v>813</v>
      </c>
      <c r="E21" s="27"/>
    </row>
    <row r="22" ht="15.75" customHeight="1">
      <c r="A22" s="184" t="s">
        <v>603</v>
      </c>
      <c r="B22" s="174">
        <v>44235.0</v>
      </c>
      <c r="C22" s="185" t="s">
        <v>75</v>
      </c>
      <c r="D22" s="124" t="s">
        <v>814</v>
      </c>
      <c r="E22" s="186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</row>
    <row r="23" ht="15.75" customHeight="1">
      <c r="A23" s="38" t="s">
        <v>701</v>
      </c>
      <c r="B23" s="188">
        <v>44239.0</v>
      </c>
      <c r="C23" s="189" t="s">
        <v>75</v>
      </c>
      <c r="D23" s="190" t="s">
        <v>815</v>
      </c>
      <c r="E23" s="19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ht="15.75" customHeight="1">
      <c r="A24" s="32" t="s">
        <v>816</v>
      </c>
      <c r="B24" s="180">
        <v>44239.0</v>
      </c>
      <c r="C24" s="153" t="s">
        <v>51</v>
      </c>
      <c r="D24" s="33" t="s">
        <v>221</v>
      </c>
      <c r="E24" s="27"/>
    </row>
    <row r="25" ht="15.75" customHeight="1">
      <c r="A25" s="32" t="s">
        <v>712</v>
      </c>
      <c r="B25" s="180">
        <v>44239.0</v>
      </c>
      <c r="C25" s="153" t="s">
        <v>51</v>
      </c>
      <c r="D25" s="33" t="s">
        <v>817</v>
      </c>
      <c r="E25" s="27"/>
    </row>
    <row r="26" ht="15.75" customHeight="1">
      <c r="A26" s="32" t="s">
        <v>818</v>
      </c>
      <c r="B26" s="180">
        <v>44242.0</v>
      </c>
      <c r="C26" s="153" t="s">
        <v>8</v>
      </c>
      <c r="D26" s="33" t="s">
        <v>819</v>
      </c>
      <c r="E26" s="27"/>
    </row>
    <row r="27" ht="15.75" customHeight="1">
      <c r="A27" s="32" t="s">
        <v>820</v>
      </c>
      <c r="B27" s="180">
        <v>44239.0</v>
      </c>
      <c r="C27" s="153" t="s">
        <v>8</v>
      </c>
      <c r="D27" s="33" t="s">
        <v>821</v>
      </c>
      <c r="E27" s="27"/>
    </row>
    <row r="28" ht="15.75" customHeight="1">
      <c r="A28" s="121" t="s">
        <v>822</v>
      </c>
      <c r="B28" s="179">
        <v>44239.0</v>
      </c>
      <c r="C28" s="175" t="s">
        <v>75</v>
      </c>
      <c r="D28" s="124" t="s">
        <v>823</v>
      </c>
      <c r="E28" s="42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5.75" customHeight="1">
      <c r="A29" s="32" t="s">
        <v>824</v>
      </c>
      <c r="B29" s="180">
        <v>44239.0</v>
      </c>
      <c r="C29" s="153"/>
      <c r="D29" s="33" t="s">
        <v>825</v>
      </c>
      <c r="E29" s="27"/>
    </row>
    <row r="30" ht="15.75" customHeight="1">
      <c r="A30" s="32" t="s">
        <v>826</v>
      </c>
      <c r="B30" s="180">
        <v>44239.0</v>
      </c>
      <c r="C30" s="153" t="s">
        <v>8</v>
      </c>
      <c r="D30" s="33" t="s">
        <v>827</v>
      </c>
      <c r="E30" s="27"/>
    </row>
    <row r="31" ht="15.75" customHeight="1">
      <c r="A31" s="32" t="s">
        <v>828</v>
      </c>
      <c r="B31" s="180">
        <v>44239.0</v>
      </c>
      <c r="C31" s="153" t="s">
        <v>8</v>
      </c>
      <c r="D31" s="33" t="s">
        <v>829</v>
      </c>
      <c r="E31" s="27"/>
    </row>
    <row r="32" ht="15.75" customHeight="1">
      <c r="A32" s="113" t="s">
        <v>87</v>
      </c>
      <c r="B32" s="125"/>
      <c r="C32" s="126"/>
      <c r="D32" s="114"/>
    </row>
    <row r="33" ht="15.75" customHeight="1">
      <c r="A33" s="13" t="s">
        <v>495</v>
      </c>
      <c r="B33" s="101">
        <v>44239.0</v>
      </c>
      <c r="C33" s="36" t="s">
        <v>8</v>
      </c>
      <c r="D33" s="6" t="s">
        <v>830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5.75" customHeight="1">
      <c r="A34" s="6" t="s">
        <v>497</v>
      </c>
      <c r="B34" s="44">
        <v>44239.0</v>
      </c>
      <c r="C34" s="36" t="s">
        <v>75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ht="16.5" customHeight="1">
      <c r="A35" s="6" t="s">
        <v>498</v>
      </c>
      <c r="B35" s="44">
        <v>44228.0</v>
      </c>
      <c r="C35" s="36" t="s">
        <v>75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6.5" customHeight="1">
      <c r="A36" s="6" t="s">
        <v>499</v>
      </c>
      <c r="B36" s="101">
        <v>44239.0</v>
      </c>
      <c r="C36" s="36" t="s">
        <v>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6.5" customHeight="1">
      <c r="A37" s="13"/>
      <c r="B37" s="101"/>
      <c r="C37" s="3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19" t="s">
        <v>714</v>
      </c>
      <c r="B38" s="101">
        <v>44230.0</v>
      </c>
      <c r="C38" s="36" t="s">
        <v>75</v>
      </c>
      <c r="D38" s="57" t="s">
        <v>831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129" t="s">
        <v>715</v>
      </c>
      <c r="B39" s="101">
        <v>44230.0</v>
      </c>
      <c r="C39" s="36" t="s">
        <v>8</v>
      </c>
      <c r="D39" s="6" t="s">
        <v>832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129" t="s">
        <v>833</v>
      </c>
      <c r="B40" s="101">
        <v>44246.0</v>
      </c>
      <c r="C40" s="36"/>
      <c r="D40" s="57" t="s">
        <v>834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155" t="s">
        <v>610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155" t="s">
        <v>610</v>
      </c>
      <c r="B42" s="154"/>
      <c r="C42" s="9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5.75" customHeight="1">
      <c r="A43" s="130" t="s">
        <v>82</v>
      </c>
      <c r="B43" s="125"/>
      <c r="C43" s="114"/>
      <c r="D43" s="114"/>
    </row>
    <row r="44" ht="15.75" customHeight="1">
      <c r="A44" s="131" t="s">
        <v>835</v>
      </c>
      <c r="B44" s="6" t="s">
        <v>836</v>
      </c>
      <c r="C44" s="9" t="s">
        <v>837</v>
      </c>
      <c r="D44" s="6" t="s">
        <v>838</v>
      </c>
    </row>
    <row r="45" ht="15.75" customHeight="1">
      <c r="A45" s="131" t="s">
        <v>839</v>
      </c>
      <c r="B45" s="56">
        <v>44239.0</v>
      </c>
      <c r="C45" s="9" t="s">
        <v>75</v>
      </c>
      <c r="D45" s="6" t="s">
        <v>840</v>
      </c>
    </row>
    <row r="46" ht="15.75" customHeight="1">
      <c r="A46" s="131" t="s">
        <v>841</v>
      </c>
      <c r="B46" s="56">
        <v>44239.0</v>
      </c>
      <c r="C46" s="9" t="s">
        <v>75</v>
      </c>
      <c r="D46" s="6" t="s">
        <v>728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customHeight="1">
      <c r="A47" s="19" t="s">
        <v>731</v>
      </c>
      <c r="B47" s="56">
        <v>44239.0</v>
      </c>
      <c r="C47" s="9" t="s">
        <v>75</v>
      </c>
      <c r="D47" s="6" t="s">
        <v>842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15.75" customHeight="1">
      <c r="A48" s="131" t="s">
        <v>843</v>
      </c>
      <c r="B48" s="56">
        <v>44239.0</v>
      </c>
      <c r="C48" s="9" t="s">
        <v>75</v>
      </c>
      <c r="D48" s="6" t="s">
        <v>734</v>
      </c>
    </row>
    <row r="49" ht="15.75" customHeight="1">
      <c r="A49" s="131" t="s">
        <v>844</v>
      </c>
      <c r="B49" s="56">
        <v>44239.0</v>
      </c>
      <c r="C49" s="9" t="s">
        <v>75</v>
      </c>
      <c r="D49" s="6" t="s">
        <v>747</v>
      </c>
    </row>
    <row r="50" ht="15.75" customHeight="1">
      <c r="A50" s="131" t="s">
        <v>748</v>
      </c>
      <c r="B50" s="56">
        <v>44239.0</v>
      </c>
      <c r="C50" s="9" t="s">
        <v>75</v>
      </c>
      <c r="D50" s="6" t="s">
        <v>749</v>
      </c>
    </row>
    <row r="51" ht="15.75" customHeight="1">
      <c r="A51" s="130" t="s">
        <v>9</v>
      </c>
      <c r="B51" s="134"/>
      <c r="C51" s="114"/>
      <c r="D51" s="114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5.75" customHeight="1">
      <c r="A52" s="13" t="s">
        <v>10</v>
      </c>
      <c r="B52" s="7" t="s">
        <v>11</v>
      </c>
      <c r="C52" s="9" t="s">
        <v>8</v>
      </c>
      <c r="D52" s="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customHeight="1">
      <c r="A53" s="13" t="s">
        <v>12</v>
      </c>
      <c r="B53" s="7" t="s">
        <v>11</v>
      </c>
      <c r="C53" s="9" t="s">
        <v>8</v>
      </c>
      <c r="D53" s="6"/>
    </row>
    <row r="54" ht="15.75" customHeight="1">
      <c r="A54" s="13" t="s">
        <v>13</v>
      </c>
      <c r="B54" s="7" t="s">
        <v>14</v>
      </c>
      <c r="C54" s="9" t="s">
        <v>8</v>
      </c>
      <c r="D54" s="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3" t="s">
        <v>15</v>
      </c>
      <c r="B55" s="7" t="s">
        <v>16</v>
      </c>
      <c r="C55" s="9" t="s">
        <v>8</v>
      </c>
      <c r="D55" s="27" t="s">
        <v>17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>
      <c r="A56" s="13" t="s">
        <v>18</v>
      </c>
      <c r="B56" s="7" t="s">
        <v>16</v>
      </c>
      <c r="C56" s="9" t="s">
        <v>8</v>
      </c>
      <c r="D56" s="6" t="s">
        <v>19</v>
      </c>
    </row>
    <row r="57" ht="15.75" customHeight="1">
      <c r="A57" s="19" t="s">
        <v>20</v>
      </c>
      <c r="B57" s="26" t="s">
        <v>16</v>
      </c>
      <c r="C57" s="9" t="s">
        <v>8</v>
      </c>
      <c r="D57" s="6" t="s">
        <v>21</v>
      </c>
    </row>
    <row r="58" ht="15.75" customHeight="1">
      <c r="A58" s="20" t="s">
        <v>845</v>
      </c>
      <c r="B58" s="103">
        <v>44239.0</v>
      </c>
      <c r="C58" s="9" t="s">
        <v>23</v>
      </c>
      <c r="D58" s="192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13" t="s">
        <v>846</v>
      </c>
      <c r="B59" s="7" t="s">
        <v>663</v>
      </c>
      <c r="C59" s="9" t="s">
        <v>8</v>
      </c>
      <c r="D59" s="193" t="s">
        <v>847</v>
      </c>
    </row>
    <row r="60" ht="15.75" customHeight="1">
      <c r="A60" s="20" t="s">
        <v>848</v>
      </c>
      <c r="B60" s="22" t="s">
        <v>663</v>
      </c>
      <c r="C60" s="9" t="s">
        <v>23</v>
      </c>
      <c r="D60" s="135"/>
    </row>
    <row r="61" ht="15.75" customHeight="1">
      <c r="A61" s="20" t="s">
        <v>849</v>
      </c>
      <c r="B61" s="103">
        <v>44239.0</v>
      </c>
      <c r="C61" s="9" t="s">
        <v>23</v>
      </c>
      <c r="D61" s="135"/>
    </row>
    <row r="62" ht="15.75" customHeight="1">
      <c r="A62" s="20" t="s">
        <v>850</v>
      </c>
      <c r="B62" s="103">
        <v>44238.0</v>
      </c>
      <c r="C62" s="9" t="s">
        <v>23</v>
      </c>
      <c r="D62" s="135"/>
    </row>
    <row r="63" ht="15.75" customHeight="1">
      <c r="A63" s="13" t="s">
        <v>851</v>
      </c>
      <c r="B63" s="7" t="s">
        <v>663</v>
      </c>
      <c r="C63" s="9" t="s">
        <v>8</v>
      </c>
      <c r="D63" s="135"/>
    </row>
    <row r="64" ht="15.75" customHeight="1">
      <c r="A64" s="13" t="s">
        <v>637</v>
      </c>
      <c r="B64" s="7" t="s">
        <v>638</v>
      </c>
      <c r="C64" s="9" t="s">
        <v>8</v>
      </c>
      <c r="D64" s="135"/>
    </row>
    <row r="65" ht="15.75" customHeight="1">
      <c r="A65" s="13" t="s">
        <v>540</v>
      </c>
      <c r="B65" s="26"/>
      <c r="C65" s="9" t="s">
        <v>8</v>
      </c>
      <c r="D65" s="6" t="s">
        <v>541</v>
      </c>
    </row>
    <row r="66" ht="15.75" customHeight="1">
      <c r="A66" s="136" t="s">
        <v>852</v>
      </c>
      <c r="B66" s="26"/>
      <c r="C66" s="9" t="s">
        <v>8</v>
      </c>
      <c r="D66" s="6" t="s">
        <v>853</v>
      </c>
    </row>
    <row r="67" ht="15.75" customHeight="1">
      <c r="A67" s="19" t="s">
        <v>854</v>
      </c>
      <c r="B67" s="26"/>
      <c r="C67" s="9" t="s">
        <v>8</v>
      </c>
      <c r="D67" s="6"/>
    </row>
    <row r="68" ht="15.75" customHeight="1">
      <c r="A68" s="19" t="s">
        <v>36</v>
      </c>
      <c r="B68" s="26"/>
      <c r="C68" s="9" t="s">
        <v>8</v>
      </c>
      <c r="D68" s="6"/>
    </row>
    <row r="69" ht="15.75" customHeight="1">
      <c r="A69" s="137" t="s">
        <v>37</v>
      </c>
      <c r="B69" s="26"/>
      <c r="C69" s="9" t="s">
        <v>8</v>
      </c>
      <c r="D69" s="6" t="s">
        <v>545</v>
      </c>
    </row>
    <row r="70" ht="15.75" customHeight="1">
      <c r="A70" s="117" t="s">
        <v>98</v>
      </c>
      <c r="B70" s="114"/>
      <c r="C70" s="114"/>
      <c r="D70" s="114"/>
    </row>
    <row r="71" ht="15.75" customHeight="1">
      <c r="A71" s="13" t="s">
        <v>107</v>
      </c>
      <c r="B71" s="6" t="s">
        <v>644</v>
      </c>
      <c r="C71" s="19" t="s">
        <v>645</v>
      </c>
      <c r="D71" s="6"/>
    </row>
    <row r="72" ht="15.75" customHeight="1">
      <c r="A72" s="13" t="s">
        <v>274</v>
      </c>
      <c r="B72" s="6" t="s">
        <v>855</v>
      </c>
      <c r="C72" s="66" t="s">
        <v>23</v>
      </c>
      <c r="D72" s="6" t="s">
        <v>856</v>
      </c>
    </row>
    <row r="73" ht="15.75" customHeight="1">
      <c r="A73" s="13" t="s">
        <v>113</v>
      </c>
      <c r="B73" s="6" t="s">
        <v>552</v>
      </c>
      <c r="C73" s="66" t="s">
        <v>23</v>
      </c>
      <c r="D73" s="6" t="s">
        <v>649</v>
      </c>
    </row>
    <row r="74" ht="15.75" customHeight="1">
      <c r="A74" s="13" t="s">
        <v>755</v>
      </c>
      <c r="B74" s="6" t="s">
        <v>756</v>
      </c>
      <c r="C74" s="66" t="s">
        <v>23</v>
      </c>
      <c r="D74" s="6" t="s">
        <v>757</v>
      </c>
    </row>
    <row r="75" ht="15.75" customHeight="1">
      <c r="A75" s="13" t="s">
        <v>560</v>
      </c>
      <c r="B75" s="6" t="s">
        <v>552</v>
      </c>
      <c r="C75" s="66" t="s">
        <v>23</v>
      </c>
      <c r="D75" s="6"/>
    </row>
    <row r="76" ht="15.75" customHeight="1">
      <c r="A76" s="19" t="s">
        <v>656</v>
      </c>
      <c r="B76" s="160" t="s">
        <v>663</v>
      </c>
      <c r="C76" s="106" t="s">
        <v>8</v>
      </c>
      <c r="D76" s="6"/>
    </row>
    <row r="77" ht="15.75" customHeight="1">
      <c r="A77" s="19" t="s">
        <v>857</v>
      </c>
      <c r="B77" s="160" t="s">
        <v>768</v>
      </c>
      <c r="C77" s="66" t="s">
        <v>23</v>
      </c>
      <c r="D77" s="6" t="s">
        <v>758</v>
      </c>
    </row>
    <row r="78" ht="15.75" customHeight="1">
      <c r="A78" s="19" t="s">
        <v>858</v>
      </c>
      <c r="B78" s="160" t="s">
        <v>855</v>
      </c>
      <c r="C78" s="66" t="s">
        <v>23</v>
      </c>
      <c r="D78" s="6"/>
    </row>
    <row r="79" ht="15.75" customHeight="1">
      <c r="A79" s="181" t="s">
        <v>660</v>
      </c>
      <c r="B79" s="160" t="s">
        <v>859</v>
      </c>
      <c r="C79" s="106" t="s">
        <v>8</v>
      </c>
      <c r="D79" s="6"/>
    </row>
    <row r="80" ht="15.75" customHeight="1">
      <c r="A80" s="19" t="s">
        <v>662</v>
      </c>
      <c r="B80" s="160" t="s">
        <v>663</v>
      </c>
      <c r="C80" s="106"/>
      <c r="D80" s="6"/>
    </row>
    <row r="81" ht="15.75" customHeight="1">
      <c r="A81" s="19" t="s">
        <v>764</v>
      </c>
      <c r="B81" s="160" t="s">
        <v>765</v>
      </c>
      <c r="C81" s="106" t="s">
        <v>8</v>
      </c>
      <c r="D81" s="6"/>
    </row>
    <row r="82" ht="15.75" customHeight="1">
      <c r="A82" s="106" t="s">
        <v>767</v>
      </c>
      <c r="B82" s="160" t="s">
        <v>768</v>
      </c>
      <c r="C82" s="66" t="s">
        <v>23</v>
      </c>
      <c r="D82" s="160" t="s">
        <v>769</v>
      </c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</row>
    <row r="83" ht="15.75" customHeight="1">
      <c r="A83" s="106" t="s">
        <v>770</v>
      </c>
      <c r="B83" s="160" t="s">
        <v>768</v>
      </c>
      <c r="C83" s="66" t="s">
        <v>23</v>
      </c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</row>
    <row r="84" ht="15.75" customHeight="1">
      <c r="A84" s="106" t="s">
        <v>771</v>
      </c>
      <c r="B84" s="160" t="s">
        <v>772</v>
      </c>
      <c r="C84" s="66" t="s">
        <v>23</v>
      </c>
      <c r="D84" s="160" t="s">
        <v>773</v>
      </c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</row>
    <row r="85" ht="15.75" customHeight="1">
      <c r="A85" s="106" t="s">
        <v>774</v>
      </c>
      <c r="B85" s="160" t="s">
        <v>768</v>
      </c>
      <c r="C85" s="66" t="s">
        <v>23</v>
      </c>
      <c r="D85" s="160" t="s">
        <v>775</v>
      </c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</row>
    <row r="86" ht="15.75" customHeight="1">
      <c r="A86" s="106" t="s">
        <v>776</v>
      </c>
      <c r="B86" s="160" t="s">
        <v>663</v>
      </c>
      <c r="C86" s="106" t="s">
        <v>8</v>
      </c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</row>
    <row r="87" ht="15.75" customHeight="1">
      <c r="A87" s="194" t="s">
        <v>860</v>
      </c>
      <c r="B87" s="160" t="s">
        <v>859</v>
      </c>
      <c r="C87" s="66" t="s">
        <v>861</v>
      </c>
      <c r="D87" s="195" t="s">
        <v>862</v>
      </c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</row>
    <row r="88" ht="15.75" customHeight="1">
      <c r="A88" s="106" t="s">
        <v>863</v>
      </c>
      <c r="B88" s="160" t="s">
        <v>552</v>
      </c>
      <c r="C88" s="66" t="s">
        <v>23</v>
      </c>
      <c r="D88" s="195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</row>
    <row r="89" ht="15.75" customHeight="1">
      <c r="A89" s="13" t="s">
        <v>864</v>
      </c>
      <c r="B89" s="160" t="s">
        <v>663</v>
      </c>
      <c r="C89" s="66" t="s">
        <v>23</v>
      </c>
      <c r="D89" s="195" t="s">
        <v>865</v>
      </c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</row>
    <row r="90" ht="15.75" customHeight="1">
      <c r="A90" s="13" t="s">
        <v>866</v>
      </c>
      <c r="B90" s="160" t="s">
        <v>855</v>
      </c>
      <c r="C90" s="66" t="s">
        <v>23</v>
      </c>
      <c r="D90" s="195" t="s">
        <v>867</v>
      </c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</row>
    <row r="91" ht="15.75" customHeight="1">
      <c r="A91" s="13" t="s">
        <v>868</v>
      </c>
      <c r="B91" s="160" t="s">
        <v>644</v>
      </c>
      <c r="C91" s="106" t="s">
        <v>8</v>
      </c>
      <c r="D91" s="195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</row>
    <row r="92" ht="15.75" customHeight="1">
      <c r="A92" s="13" t="s">
        <v>869</v>
      </c>
      <c r="B92" s="160" t="s">
        <v>552</v>
      </c>
      <c r="C92" s="66" t="s">
        <v>23</v>
      </c>
      <c r="D92" s="195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</row>
    <row r="93" ht="15.75" customHeight="1">
      <c r="A93" s="13" t="s">
        <v>870</v>
      </c>
      <c r="B93" s="160" t="s">
        <v>663</v>
      </c>
      <c r="C93" s="106"/>
      <c r="D93" s="195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</row>
    <row r="94" ht="15.75" customHeight="1">
      <c r="A94" s="13" t="s">
        <v>871</v>
      </c>
      <c r="B94" s="160" t="s">
        <v>872</v>
      </c>
      <c r="C94" s="66" t="s">
        <v>23</v>
      </c>
      <c r="D94" s="195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</row>
    <row r="95" ht="15.75" customHeight="1">
      <c r="A95" s="13" t="s">
        <v>873</v>
      </c>
      <c r="B95" s="160" t="s">
        <v>855</v>
      </c>
      <c r="C95" s="66" t="s">
        <v>23</v>
      </c>
      <c r="D95" s="160" t="s">
        <v>874</v>
      </c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</row>
    <row r="96" ht="15.75" customHeight="1">
      <c r="A96" s="117" t="s">
        <v>565</v>
      </c>
      <c r="B96" s="142"/>
      <c r="C96" s="114"/>
      <c r="D96" s="114"/>
    </row>
    <row r="97" ht="15.75" customHeight="1">
      <c r="A97" s="13" t="s">
        <v>582</v>
      </c>
      <c r="B97" s="143">
        <v>44235.0</v>
      </c>
      <c r="C97" s="66" t="s">
        <v>120</v>
      </c>
      <c r="D97" s="6"/>
    </row>
    <row r="98" ht="15.75" customHeight="1">
      <c r="A98" s="13" t="s">
        <v>875</v>
      </c>
      <c r="B98" s="143">
        <v>44235.0</v>
      </c>
      <c r="C98" s="66" t="s">
        <v>120</v>
      </c>
      <c r="D98" s="6"/>
    </row>
    <row r="99" ht="15.75" customHeight="1">
      <c r="A99" s="13" t="s">
        <v>876</v>
      </c>
      <c r="B99" s="143">
        <v>44236.0</v>
      </c>
      <c r="C99" s="66" t="s">
        <v>120</v>
      </c>
      <c r="D99" s="6"/>
    </row>
    <row r="100" ht="15.75" customHeight="1">
      <c r="A100" s="13" t="s">
        <v>877</v>
      </c>
      <c r="B100" s="143">
        <v>44236.0</v>
      </c>
      <c r="C100" s="67" t="s">
        <v>878</v>
      </c>
      <c r="D100" s="6"/>
    </row>
    <row r="101" ht="15.75" customHeight="1">
      <c r="A101" s="19" t="s">
        <v>879</v>
      </c>
      <c r="B101" s="143">
        <v>44236.0</v>
      </c>
      <c r="C101" s="66" t="s">
        <v>120</v>
      </c>
      <c r="D101" s="6"/>
    </row>
    <row r="102" ht="15.75" customHeight="1">
      <c r="A102" s="13" t="s">
        <v>880</v>
      </c>
      <c r="B102" s="143">
        <v>44237.0</v>
      </c>
      <c r="C102" s="66" t="s">
        <v>120</v>
      </c>
      <c r="D102" s="6"/>
    </row>
    <row r="103" ht="15.75" customHeight="1">
      <c r="A103" s="13" t="s">
        <v>881</v>
      </c>
      <c r="B103" s="143">
        <v>44237.0</v>
      </c>
      <c r="C103" s="96" t="s">
        <v>129</v>
      </c>
      <c r="D103" s="6" t="s">
        <v>882</v>
      </c>
    </row>
    <row r="104" ht="15.75" customHeight="1">
      <c r="A104" s="19" t="s">
        <v>580</v>
      </c>
      <c r="B104" s="143">
        <v>44238.0</v>
      </c>
      <c r="C104" s="67" t="s">
        <v>574</v>
      </c>
      <c r="D104" s="6" t="s">
        <v>581</v>
      </c>
    </row>
    <row r="105" ht="15.75" customHeight="1">
      <c r="A105" s="13" t="s">
        <v>578</v>
      </c>
      <c r="B105" s="143">
        <v>44238.0</v>
      </c>
      <c r="C105" s="67" t="s">
        <v>883</v>
      </c>
      <c r="D105" s="6"/>
    </row>
    <row r="106" ht="15.75" customHeight="1">
      <c r="A106" s="13" t="s">
        <v>884</v>
      </c>
      <c r="B106" s="143">
        <v>44239.0</v>
      </c>
      <c r="C106" s="67" t="s">
        <v>885</v>
      </c>
      <c r="D106" s="6"/>
    </row>
    <row r="107" ht="15.75" customHeight="1">
      <c r="A107" s="13" t="s">
        <v>886</v>
      </c>
      <c r="B107" s="143">
        <v>44239.0</v>
      </c>
      <c r="C107" s="96" t="s">
        <v>129</v>
      </c>
      <c r="D107" s="6"/>
    </row>
    <row r="108" ht="15.75" customHeight="1">
      <c r="A108" s="19" t="s">
        <v>583</v>
      </c>
      <c r="B108" s="143">
        <v>44239.0</v>
      </c>
      <c r="C108" s="96" t="s">
        <v>129</v>
      </c>
    </row>
    <row r="109" ht="15.75" customHeight="1">
      <c r="A109" s="19" t="s">
        <v>579</v>
      </c>
      <c r="B109" s="143">
        <v>44267.0</v>
      </c>
      <c r="C109" s="96" t="s">
        <v>129</v>
      </c>
      <c r="D109" s="6"/>
    </row>
    <row r="110" ht="15.75" customHeight="1">
      <c r="D110" s="6"/>
    </row>
    <row r="111" ht="15.75" customHeight="1">
      <c r="A111" s="145" t="s">
        <v>573</v>
      </c>
      <c r="B111" s="146">
        <v>44242.0</v>
      </c>
      <c r="C111" s="196" t="s">
        <v>887</v>
      </c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 ht="15.75" customHeight="1">
      <c r="A112" s="13" t="s">
        <v>888</v>
      </c>
      <c r="B112" s="143">
        <v>44242.0</v>
      </c>
      <c r="C112" s="96" t="s">
        <v>129</v>
      </c>
      <c r="D112" s="6"/>
    </row>
    <row r="113" ht="15.75" customHeight="1">
      <c r="A113" s="13" t="s">
        <v>577</v>
      </c>
      <c r="B113" s="143"/>
      <c r="C113" s="19"/>
      <c r="D113" s="6"/>
    </row>
    <row r="114" ht="15.75" customHeight="1">
      <c r="A114" s="13" t="s">
        <v>131</v>
      </c>
      <c r="B114" s="143"/>
      <c r="C114" s="19"/>
      <c r="D114" s="6"/>
    </row>
    <row r="115" ht="15.75" customHeight="1">
      <c r="A115" s="19" t="s">
        <v>139</v>
      </c>
      <c r="B115" s="6"/>
      <c r="C115" s="6"/>
      <c r="D115" s="6"/>
    </row>
    <row r="116" ht="15.75" customHeight="1">
      <c r="A116" s="19" t="s">
        <v>141</v>
      </c>
      <c r="B116" s="56"/>
      <c r="C116" s="6"/>
      <c r="D116" s="6"/>
    </row>
    <row r="117" ht="15.75" customHeight="1">
      <c r="A117" s="19" t="s">
        <v>142</v>
      </c>
      <c r="B117" s="56"/>
      <c r="C117" s="6"/>
      <c r="D117" s="6"/>
    </row>
    <row r="118" ht="15.75" customHeight="1">
      <c r="A118" s="130" t="s">
        <v>143</v>
      </c>
      <c r="B118" s="125"/>
      <c r="C118" s="114"/>
      <c r="D118" s="114"/>
    </row>
    <row r="119" ht="15.75" customHeight="1">
      <c r="A119" s="89" t="s">
        <v>889</v>
      </c>
      <c r="B119" s="162">
        <v>44235.0</v>
      </c>
      <c r="C119" s="99" t="s">
        <v>23</v>
      </c>
      <c r="D119" s="99"/>
    </row>
    <row r="120" ht="15.75" customHeight="1">
      <c r="A120" s="89" t="s">
        <v>890</v>
      </c>
      <c r="B120" s="162">
        <v>44239.0</v>
      </c>
      <c r="C120" s="99" t="s">
        <v>23</v>
      </c>
      <c r="D120" s="99" t="s">
        <v>891</v>
      </c>
    </row>
    <row r="121" ht="15.75" customHeight="1">
      <c r="A121" s="117" t="s">
        <v>147</v>
      </c>
      <c r="B121" s="151"/>
      <c r="C121" s="114"/>
      <c r="D121" s="114"/>
    </row>
    <row r="122" ht="15.75" customHeight="1">
      <c r="A122" s="19" t="s">
        <v>788</v>
      </c>
      <c r="B122" s="150">
        <v>44242.0</v>
      </c>
      <c r="C122" s="19" t="s">
        <v>789</v>
      </c>
      <c r="D122" s="6"/>
    </row>
    <row r="123" ht="15.75" customHeight="1">
      <c r="A123" s="66" t="s">
        <v>790</v>
      </c>
      <c r="B123" s="150">
        <v>44242.0</v>
      </c>
      <c r="C123" s="19" t="s">
        <v>791</v>
      </c>
      <c r="D123" s="6"/>
    </row>
    <row r="124" ht="15.75" customHeight="1">
      <c r="A124" s="19" t="s">
        <v>158</v>
      </c>
      <c r="B124" s="150">
        <v>44237.0</v>
      </c>
      <c r="C124" s="19" t="s">
        <v>8</v>
      </c>
      <c r="D124" s="6"/>
    </row>
    <row r="125" ht="15.75" customHeight="1">
      <c r="A125" s="19" t="s">
        <v>399</v>
      </c>
      <c r="B125" s="150">
        <v>44232.0</v>
      </c>
      <c r="C125" s="19" t="s">
        <v>23</v>
      </c>
      <c r="D125" s="6"/>
    </row>
    <row r="126" ht="15.75" customHeight="1">
      <c r="A126" s="19" t="s">
        <v>400</v>
      </c>
      <c r="B126" s="150">
        <v>44255.0</v>
      </c>
      <c r="C126" s="19" t="s">
        <v>8</v>
      </c>
      <c r="D126" s="6"/>
    </row>
    <row r="127" ht="15.75" customHeight="1">
      <c r="A127" s="19" t="s">
        <v>892</v>
      </c>
      <c r="B127" s="183" t="s">
        <v>793</v>
      </c>
      <c r="C127" s="19" t="s">
        <v>152</v>
      </c>
      <c r="D127" s="6"/>
    </row>
    <row r="128" ht="15.75" customHeight="1">
      <c r="A128" s="19" t="s">
        <v>794</v>
      </c>
      <c r="B128" s="164">
        <v>44255.0</v>
      </c>
      <c r="C128" s="19" t="s">
        <v>23</v>
      </c>
    </row>
    <row r="129" ht="15.75" customHeight="1">
      <c r="A129" s="19" t="s">
        <v>893</v>
      </c>
      <c r="B129" s="164">
        <v>44255.0</v>
      </c>
      <c r="C129" s="19" t="s">
        <v>894</v>
      </c>
    </row>
    <row r="130" ht="15.75" customHeight="1">
      <c r="A130" s="19" t="s">
        <v>683</v>
      </c>
      <c r="B130" s="164">
        <v>44255.0</v>
      </c>
      <c r="C130" s="19" t="s">
        <v>8</v>
      </c>
    </row>
    <row r="131" ht="15.75" customHeight="1">
      <c r="A131" s="19" t="s">
        <v>797</v>
      </c>
      <c r="B131" s="164">
        <v>44235.0</v>
      </c>
      <c r="C131" s="19" t="s">
        <v>895</v>
      </c>
    </row>
    <row r="132" ht="15.75" customHeight="1">
      <c r="A132" s="19" t="s">
        <v>799</v>
      </c>
      <c r="B132" s="164">
        <v>44237.0</v>
      </c>
      <c r="C132" s="19" t="s">
        <v>800</v>
      </c>
    </row>
    <row r="133" ht="15.75" customHeight="1">
      <c r="A133" s="19" t="s">
        <v>801</v>
      </c>
      <c r="B133" s="164">
        <v>44237.0</v>
      </c>
      <c r="C133" s="19" t="s">
        <v>23</v>
      </c>
    </row>
    <row r="134" ht="15.75" customHeight="1">
      <c r="A134" s="19" t="s">
        <v>896</v>
      </c>
      <c r="B134" s="164">
        <v>44239.0</v>
      </c>
      <c r="C134" s="19" t="s">
        <v>897</v>
      </c>
    </row>
    <row r="135" ht="15.75" customHeight="1">
      <c r="A135" s="19" t="s">
        <v>898</v>
      </c>
      <c r="B135" s="164">
        <v>44255.0</v>
      </c>
      <c r="C135" s="19" t="s">
        <v>899</v>
      </c>
    </row>
    <row r="136" ht="15.75" customHeight="1">
      <c r="A136" s="19" t="s">
        <v>900</v>
      </c>
      <c r="B136" s="164">
        <v>44242.0</v>
      </c>
      <c r="C136" s="19" t="s">
        <v>901</v>
      </c>
    </row>
    <row r="137" ht="15.75" customHeight="1">
      <c r="A137" s="19" t="s">
        <v>902</v>
      </c>
      <c r="B137" s="164">
        <v>44256.0</v>
      </c>
      <c r="C137" s="19" t="s">
        <v>152</v>
      </c>
    </row>
    <row r="138" ht="15.75" customHeight="1">
      <c r="A138" s="19" t="s">
        <v>903</v>
      </c>
      <c r="B138" s="164">
        <v>44255.0</v>
      </c>
      <c r="C138" s="19" t="s">
        <v>152</v>
      </c>
    </row>
    <row r="139" ht="15.75" customHeight="1">
      <c r="A139" s="19"/>
      <c r="C139" s="19"/>
    </row>
    <row r="140" ht="15.75" customHeight="1">
      <c r="A140" s="19"/>
      <c r="C140" s="19"/>
    </row>
    <row r="141" ht="15.75" customHeight="1">
      <c r="A141" s="19"/>
      <c r="C141" s="19"/>
    </row>
    <row r="142" ht="15.75" customHeight="1">
      <c r="A142" s="19"/>
      <c r="C142" s="19"/>
    </row>
    <row r="143" ht="15.75" customHeight="1">
      <c r="A143" s="19"/>
      <c r="C143" s="19"/>
    </row>
    <row r="144" ht="15.75" customHeight="1">
      <c r="A144" s="19"/>
      <c r="C144" s="19"/>
    </row>
    <row r="145" ht="15.75" customHeight="1">
      <c r="A145" s="19"/>
      <c r="C145" s="19"/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>
      <c r="A338" s="19"/>
      <c r="C338" s="19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87"/>
    <hyperlink r:id="rId2" location="wpcf7-f1572-p1573-o2" ref="D87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1.38"/>
    <col customWidth="1" min="2" max="2" width="12.25"/>
    <col customWidth="1" min="3" max="3" width="17.75"/>
    <col customWidth="1" min="4" max="4" width="66.5"/>
    <col customWidth="1" min="5" max="6" width="12.63"/>
  </cols>
  <sheetData>
    <row r="1" ht="15.75" customHeight="1">
      <c r="A1" s="111" t="s">
        <v>0</v>
      </c>
      <c r="B1" s="112" t="s">
        <v>1</v>
      </c>
      <c r="C1" s="111" t="s">
        <v>2</v>
      </c>
      <c r="D1" s="112" t="s">
        <v>3</v>
      </c>
    </row>
    <row r="2" ht="15.75" customHeight="1">
      <c r="A2" s="117" t="s">
        <v>80</v>
      </c>
      <c r="B2" s="118"/>
      <c r="C2" s="119"/>
      <c r="D2" s="114"/>
    </row>
    <row r="3" ht="15.75" customHeight="1">
      <c r="A3" s="13" t="s">
        <v>480</v>
      </c>
      <c r="B3" s="101">
        <v>44239.0</v>
      </c>
      <c r="C3" s="9" t="s">
        <v>904</v>
      </c>
      <c r="D3" s="6" t="s">
        <v>686</v>
      </c>
    </row>
    <row r="4" ht="15.75" customHeight="1">
      <c r="A4" s="13" t="s">
        <v>343</v>
      </c>
      <c r="B4" s="101">
        <v>44242.0</v>
      </c>
      <c r="C4" s="116" t="s">
        <v>75</v>
      </c>
    </row>
    <row r="5" ht="15.75" customHeight="1">
      <c r="A5" s="13" t="s">
        <v>905</v>
      </c>
      <c r="B5" s="101">
        <v>44243.0</v>
      </c>
      <c r="C5" s="9" t="s">
        <v>906</v>
      </c>
    </row>
    <row r="6" ht="15.75" customHeight="1">
      <c r="A6" s="13" t="s">
        <v>907</v>
      </c>
      <c r="B6" s="101">
        <v>44242.0</v>
      </c>
      <c r="C6" s="116" t="s">
        <v>75</v>
      </c>
    </row>
    <row r="7" ht="15.75" customHeight="1">
      <c r="A7" s="13" t="s">
        <v>908</v>
      </c>
      <c r="B7" s="101">
        <v>44243.0</v>
      </c>
      <c r="C7" s="116" t="s">
        <v>75</v>
      </c>
    </row>
    <row r="8" ht="15.75" customHeight="1">
      <c r="A8" s="13" t="s">
        <v>909</v>
      </c>
      <c r="B8" s="101">
        <v>44246.0</v>
      </c>
      <c r="C8" s="116" t="s">
        <v>75</v>
      </c>
    </row>
    <row r="9" ht="15.75" customHeight="1">
      <c r="A9" s="13" t="s">
        <v>599</v>
      </c>
      <c r="B9" s="101">
        <v>44260.0</v>
      </c>
      <c r="C9" s="9" t="s">
        <v>904</v>
      </c>
    </row>
    <row r="10" ht="15.75" customHeight="1">
      <c r="A10" s="13" t="s">
        <v>805</v>
      </c>
      <c r="B10" s="101">
        <v>44243.0</v>
      </c>
      <c r="C10" s="116" t="s">
        <v>75</v>
      </c>
    </row>
    <row r="11" ht="15.75" customHeight="1">
      <c r="A11" s="13" t="s">
        <v>486</v>
      </c>
      <c r="B11" s="101">
        <v>44247.0</v>
      </c>
      <c r="C11" s="9" t="s">
        <v>904</v>
      </c>
    </row>
    <row r="12" ht="15.75" customHeight="1">
      <c r="A12" s="113" t="s">
        <v>39</v>
      </c>
      <c r="B12" s="114"/>
      <c r="C12" s="115"/>
      <c r="D12" s="114"/>
    </row>
    <row r="13" ht="15.75" customHeight="1">
      <c r="A13" s="32" t="s">
        <v>40</v>
      </c>
      <c r="B13" s="71">
        <v>44247.0</v>
      </c>
      <c r="C13" s="16" t="s">
        <v>8</v>
      </c>
      <c r="D13" s="33" t="s">
        <v>910</v>
      </c>
      <c r="E13" s="27" t="s">
        <v>688</v>
      </c>
    </row>
    <row r="14" ht="15.75" customHeight="1">
      <c r="A14" s="32" t="s">
        <v>44</v>
      </c>
      <c r="B14" s="71">
        <v>44247.0</v>
      </c>
      <c r="C14" s="36" t="s">
        <v>8</v>
      </c>
      <c r="D14" s="37" t="s">
        <v>809</v>
      </c>
      <c r="E14" s="27"/>
    </row>
    <row r="15" ht="15.75" customHeight="1">
      <c r="A15" s="46" t="s">
        <v>48</v>
      </c>
      <c r="B15" s="165">
        <v>44247.0</v>
      </c>
      <c r="C15" s="48" t="s">
        <v>75</v>
      </c>
      <c r="D15" s="49" t="s">
        <v>810</v>
      </c>
      <c r="E15" s="5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35" t="s">
        <v>911</v>
      </c>
      <c r="B16" s="166">
        <v>44256.0</v>
      </c>
      <c r="C16" s="36" t="s">
        <v>8</v>
      </c>
      <c r="D16" s="45" t="s">
        <v>912</v>
      </c>
      <c r="E16" s="27"/>
    </row>
    <row r="17" ht="15.75" customHeight="1">
      <c r="A17" s="35" t="s">
        <v>67</v>
      </c>
      <c r="B17" s="166">
        <v>44247.0</v>
      </c>
      <c r="C17" s="36" t="s">
        <v>8</v>
      </c>
      <c r="D17" s="45" t="s">
        <v>692</v>
      </c>
      <c r="E17" s="27"/>
    </row>
    <row r="18" ht="15.75" customHeight="1">
      <c r="A18" s="35" t="s">
        <v>70</v>
      </c>
      <c r="B18" s="166">
        <v>44247.0</v>
      </c>
      <c r="C18" s="48" t="s">
        <v>913</v>
      </c>
      <c r="D18" s="45" t="s">
        <v>812</v>
      </c>
      <c r="E18" s="27"/>
    </row>
    <row r="19" ht="15.75" customHeight="1">
      <c r="A19" s="32" t="s">
        <v>492</v>
      </c>
      <c r="B19" s="167">
        <v>44247.0</v>
      </c>
      <c r="C19" s="197" t="s">
        <v>913</v>
      </c>
      <c r="D19" s="33" t="s">
        <v>914</v>
      </c>
      <c r="E19" s="27"/>
    </row>
    <row r="20" ht="15.75" customHeight="1">
      <c r="A20" s="121" t="s">
        <v>816</v>
      </c>
      <c r="B20" s="179">
        <v>44247.0</v>
      </c>
      <c r="C20" s="198" t="s">
        <v>75</v>
      </c>
      <c r="D20" s="124" t="s">
        <v>221</v>
      </c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5.75" customHeight="1">
      <c r="A21" s="32" t="s">
        <v>712</v>
      </c>
      <c r="B21" s="180">
        <v>44247.0</v>
      </c>
      <c r="C21" s="199" t="s">
        <v>51</v>
      </c>
      <c r="D21" s="33" t="s">
        <v>817</v>
      </c>
      <c r="E21" s="27"/>
    </row>
    <row r="22" ht="15.75" customHeight="1">
      <c r="A22" s="38" t="s">
        <v>818</v>
      </c>
      <c r="B22" s="200">
        <v>44242.0</v>
      </c>
      <c r="C22" s="201" t="s">
        <v>75</v>
      </c>
      <c r="D22" s="202" t="s">
        <v>819</v>
      </c>
      <c r="E22" s="19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ht="15.75" customHeight="1">
      <c r="A23" s="32" t="s">
        <v>820</v>
      </c>
      <c r="B23" s="180">
        <v>44247.0</v>
      </c>
      <c r="C23" s="203" t="s">
        <v>913</v>
      </c>
      <c r="D23" s="33" t="s">
        <v>915</v>
      </c>
      <c r="E23" s="27"/>
    </row>
    <row r="24" ht="15.75" customHeight="1">
      <c r="A24" s="32" t="s">
        <v>824</v>
      </c>
      <c r="B24" s="180">
        <v>44247.0</v>
      </c>
      <c r="C24" s="199"/>
      <c r="D24" s="33" t="s">
        <v>825</v>
      </c>
      <c r="E24" s="27"/>
    </row>
    <row r="25" ht="15.75" customHeight="1">
      <c r="A25" s="32" t="s">
        <v>916</v>
      </c>
      <c r="B25" s="180">
        <v>44247.0</v>
      </c>
      <c r="C25" s="199" t="s">
        <v>8</v>
      </c>
      <c r="D25" s="33" t="s">
        <v>827</v>
      </c>
      <c r="E25" s="27"/>
    </row>
    <row r="26" ht="15.75" customHeight="1">
      <c r="A26" s="32" t="s">
        <v>917</v>
      </c>
      <c r="B26" s="204">
        <v>44247.0</v>
      </c>
      <c r="C26" s="198" t="s">
        <v>75</v>
      </c>
      <c r="D26" s="124" t="s">
        <v>918</v>
      </c>
      <c r="E26" s="27"/>
    </row>
    <row r="27" ht="15.75" customHeight="1">
      <c r="B27" s="205"/>
      <c r="C27" s="199" t="s">
        <v>8</v>
      </c>
      <c r="D27" s="33" t="s">
        <v>919</v>
      </c>
      <c r="E27" s="27"/>
    </row>
    <row r="28" ht="15.75" customHeight="1">
      <c r="A28" s="32" t="s">
        <v>920</v>
      </c>
      <c r="B28" s="180">
        <v>44247.0</v>
      </c>
      <c r="C28" s="199" t="s">
        <v>8</v>
      </c>
      <c r="D28" s="33" t="s">
        <v>921</v>
      </c>
      <c r="E28" s="27"/>
    </row>
    <row r="29" ht="15.75" customHeight="1">
      <c r="A29" s="121" t="s">
        <v>922</v>
      </c>
      <c r="B29" s="179">
        <v>44244.0</v>
      </c>
      <c r="C29" s="198" t="s">
        <v>75</v>
      </c>
      <c r="D29" s="124" t="s">
        <v>923</v>
      </c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5.75" customHeight="1">
      <c r="A30" s="32" t="s">
        <v>924</v>
      </c>
      <c r="B30" s="180">
        <v>44245.0</v>
      </c>
      <c r="C30" s="199" t="s">
        <v>8</v>
      </c>
      <c r="D30" s="33" t="s">
        <v>925</v>
      </c>
      <c r="E30" s="27"/>
    </row>
    <row r="31" ht="15.75" customHeight="1">
      <c r="A31" s="32" t="s">
        <v>926</v>
      </c>
      <c r="B31" s="180">
        <v>44247.0</v>
      </c>
      <c r="C31" s="199" t="s">
        <v>8</v>
      </c>
      <c r="D31" s="33" t="s">
        <v>927</v>
      </c>
      <c r="E31" s="27"/>
    </row>
    <row r="32" ht="15.75" customHeight="1">
      <c r="A32" s="32" t="s">
        <v>928</v>
      </c>
      <c r="B32" s="180">
        <v>44256.0</v>
      </c>
      <c r="C32" s="199" t="s">
        <v>8</v>
      </c>
      <c r="D32" s="33" t="s">
        <v>929</v>
      </c>
      <c r="E32" s="27"/>
    </row>
    <row r="33" ht="15.75" customHeight="1">
      <c r="A33" s="32" t="s">
        <v>930</v>
      </c>
      <c r="B33" s="180"/>
      <c r="C33" s="199" t="s">
        <v>8</v>
      </c>
      <c r="D33" s="33" t="s">
        <v>931</v>
      </c>
      <c r="E33" s="27"/>
    </row>
    <row r="34" ht="15.75" customHeight="1">
      <c r="A34" s="113" t="s">
        <v>87</v>
      </c>
      <c r="B34" s="125"/>
      <c r="C34" s="126"/>
      <c r="D34" s="114"/>
    </row>
    <row r="35" ht="15.75" customHeight="1">
      <c r="A35" s="13" t="s">
        <v>495</v>
      </c>
      <c r="B35" s="101">
        <v>44247.0</v>
      </c>
      <c r="C35" s="36" t="s">
        <v>8</v>
      </c>
      <c r="D35" s="6" t="s">
        <v>932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5.75" customHeight="1">
      <c r="A36" s="6" t="s">
        <v>497</v>
      </c>
      <c r="B36" s="44">
        <v>44239.0</v>
      </c>
      <c r="C36" s="36" t="s">
        <v>75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ht="16.5" customHeight="1">
      <c r="A37" s="6" t="s">
        <v>499</v>
      </c>
      <c r="B37" s="101">
        <v>44239.0</v>
      </c>
      <c r="C37" s="36" t="s">
        <v>75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13" t="s">
        <v>141</v>
      </c>
      <c r="B38" s="101">
        <v>44246.0</v>
      </c>
      <c r="C38" s="36" t="s">
        <v>8</v>
      </c>
      <c r="D38" s="6" t="s">
        <v>933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19" t="s">
        <v>714</v>
      </c>
      <c r="B39" s="101">
        <v>44230.0</v>
      </c>
      <c r="C39" s="36" t="s">
        <v>75</v>
      </c>
      <c r="D39" s="5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6.5" customHeight="1">
      <c r="A40" s="129" t="s">
        <v>715</v>
      </c>
      <c r="B40" s="101">
        <v>44230.0</v>
      </c>
      <c r="C40" s="36" t="s">
        <v>8</v>
      </c>
      <c r="D40" s="6" t="s">
        <v>832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129" t="s">
        <v>833</v>
      </c>
      <c r="B41" s="101">
        <v>44246.0</v>
      </c>
      <c r="C41" s="36"/>
      <c r="D41" s="27" t="s">
        <v>934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129" t="s">
        <v>935</v>
      </c>
      <c r="B42" s="101">
        <v>44245.0</v>
      </c>
      <c r="C42" s="36" t="s">
        <v>75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6.5" customHeight="1">
      <c r="A43" s="155" t="s">
        <v>610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6.5" customHeight="1">
      <c r="A44" s="155" t="s">
        <v>610</v>
      </c>
      <c r="B44" s="154"/>
      <c r="C44" s="9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5.75" customHeight="1">
      <c r="A45" s="130" t="s">
        <v>82</v>
      </c>
      <c r="B45" s="125"/>
      <c r="C45" s="115"/>
      <c r="D45" s="114"/>
    </row>
    <row r="46" ht="15.75" customHeight="1">
      <c r="A46" s="131" t="s">
        <v>936</v>
      </c>
      <c r="B46" s="56">
        <v>44247.0</v>
      </c>
      <c r="C46" s="9" t="s">
        <v>75</v>
      </c>
      <c r="D46" s="6" t="s">
        <v>937</v>
      </c>
    </row>
    <row r="47" ht="15.75" customHeight="1">
      <c r="A47" s="131" t="s">
        <v>938</v>
      </c>
      <c r="B47" s="56">
        <v>44247.0</v>
      </c>
      <c r="C47" s="9" t="s">
        <v>75</v>
      </c>
      <c r="D47" s="6" t="s">
        <v>939</v>
      </c>
    </row>
    <row r="48" ht="15.75" customHeight="1">
      <c r="A48" s="131" t="s">
        <v>940</v>
      </c>
      <c r="B48" s="56">
        <v>44247.0</v>
      </c>
      <c r="C48" s="9" t="s">
        <v>627</v>
      </c>
      <c r="D48" s="6" t="s">
        <v>516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5.75" customHeight="1">
      <c r="A49" s="19" t="s">
        <v>941</v>
      </c>
      <c r="B49" s="56">
        <v>44247.0</v>
      </c>
      <c r="C49" s="9" t="s">
        <v>75</v>
      </c>
      <c r="D49" s="6" t="s">
        <v>942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5.75" customHeight="1">
      <c r="A50" s="131" t="s">
        <v>943</v>
      </c>
      <c r="B50" s="56">
        <v>44243.0</v>
      </c>
      <c r="C50" s="9" t="s">
        <v>75</v>
      </c>
      <c r="D50" s="6" t="s">
        <v>944</v>
      </c>
    </row>
    <row r="51" ht="15.75" customHeight="1">
      <c r="A51" s="131" t="s">
        <v>945</v>
      </c>
      <c r="B51" s="56">
        <v>44245.0</v>
      </c>
      <c r="C51" s="9" t="s">
        <v>946</v>
      </c>
      <c r="D51" s="6" t="s">
        <v>944</v>
      </c>
    </row>
    <row r="52" ht="15.75" customHeight="1">
      <c r="A52" s="131" t="s">
        <v>947</v>
      </c>
      <c r="B52" s="56">
        <v>44246.0</v>
      </c>
      <c r="C52" s="9" t="s">
        <v>946</v>
      </c>
      <c r="D52" s="6" t="s">
        <v>944</v>
      </c>
    </row>
    <row r="53" ht="15.75" customHeight="1">
      <c r="A53" s="130" t="s">
        <v>9</v>
      </c>
      <c r="B53" s="134"/>
      <c r="C53" s="115"/>
      <c r="D53" s="114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15.75" customHeight="1">
      <c r="A54" s="13" t="s">
        <v>10</v>
      </c>
      <c r="B54" s="7" t="s">
        <v>11</v>
      </c>
      <c r="C54" s="9" t="s">
        <v>8</v>
      </c>
      <c r="D54" s="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3" t="s">
        <v>12</v>
      </c>
      <c r="B55" s="7" t="s">
        <v>11</v>
      </c>
      <c r="C55" s="9" t="s">
        <v>8</v>
      </c>
      <c r="D55" s="6"/>
    </row>
    <row r="56" ht="15.75" customHeight="1">
      <c r="A56" s="13" t="s">
        <v>13</v>
      </c>
      <c r="B56" s="7" t="s">
        <v>14</v>
      </c>
      <c r="C56" s="9" t="s">
        <v>8</v>
      </c>
      <c r="D56" s="6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customHeight="1">
      <c r="A57" s="13" t="s">
        <v>15</v>
      </c>
      <c r="B57" s="7" t="s">
        <v>16</v>
      </c>
      <c r="C57" s="9" t="s">
        <v>8</v>
      </c>
      <c r="D57" s="27" t="s">
        <v>17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15.75" customHeight="1">
      <c r="A58" s="13" t="s">
        <v>18</v>
      </c>
      <c r="B58" s="7" t="s">
        <v>16</v>
      </c>
      <c r="C58" s="9" t="s">
        <v>8</v>
      </c>
      <c r="D58" s="6" t="s">
        <v>19</v>
      </c>
    </row>
    <row r="59" ht="15.75" customHeight="1">
      <c r="A59" s="19" t="s">
        <v>20</v>
      </c>
      <c r="B59" s="26" t="s">
        <v>16</v>
      </c>
      <c r="C59" s="9" t="s">
        <v>8</v>
      </c>
      <c r="D59" s="6" t="s">
        <v>21</v>
      </c>
    </row>
    <row r="60" ht="15.75" customHeight="1">
      <c r="A60" s="13" t="s">
        <v>846</v>
      </c>
      <c r="B60" s="7" t="s">
        <v>948</v>
      </c>
      <c r="C60" s="9" t="s">
        <v>8</v>
      </c>
      <c r="D60" s="193" t="s">
        <v>847</v>
      </c>
    </row>
    <row r="61" ht="15.75" customHeight="1">
      <c r="A61" s="13" t="s">
        <v>949</v>
      </c>
      <c r="B61" s="7" t="s">
        <v>948</v>
      </c>
      <c r="C61" s="9" t="s">
        <v>8</v>
      </c>
      <c r="D61" s="27"/>
    </row>
    <row r="62" ht="15.75" customHeight="1">
      <c r="A62" s="20" t="s">
        <v>851</v>
      </c>
      <c r="B62" s="22" t="s">
        <v>663</v>
      </c>
      <c r="C62" s="9" t="s">
        <v>23</v>
      </c>
      <c r="D62" s="27"/>
    </row>
    <row r="63" ht="15.75" customHeight="1">
      <c r="A63" s="20" t="s">
        <v>950</v>
      </c>
      <c r="B63" s="22" t="s">
        <v>644</v>
      </c>
      <c r="C63" s="9" t="s">
        <v>23</v>
      </c>
      <c r="D63" s="27"/>
    </row>
    <row r="64" ht="15.75" customHeight="1">
      <c r="A64" s="20" t="s">
        <v>951</v>
      </c>
      <c r="B64" s="103">
        <v>44242.0</v>
      </c>
      <c r="C64" s="9" t="s">
        <v>23</v>
      </c>
      <c r="D64" s="27"/>
    </row>
    <row r="65" ht="15.75" customHeight="1">
      <c r="A65" s="20" t="s">
        <v>952</v>
      </c>
      <c r="B65" s="22" t="s">
        <v>644</v>
      </c>
      <c r="C65" s="9" t="s">
        <v>23</v>
      </c>
      <c r="D65" s="27" t="s">
        <v>953</v>
      </c>
    </row>
    <row r="66" ht="15.75" customHeight="1">
      <c r="A66" s="20" t="s">
        <v>954</v>
      </c>
      <c r="B66" s="103">
        <v>44246.0</v>
      </c>
      <c r="C66" s="9" t="s">
        <v>23</v>
      </c>
      <c r="D66" s="27"/>
    </row>
    <row r="67" ht="15.75" customHeight="1">
      <c r="A67" s="20" t="s">
        <v>955</v>
      </c>
      <c r="B67" s="103">
        <v>44246.0</v>
      </c>
      <c r="C67" s="9" t="s">
        <v>23</v>
      </c>
      <c r="D67" s="27"/>
    </row>
    <row r="68" ht="15.75" customHeight="1">
      <c r="A68" s="20" t="s">
        <v>956</v>
      </c>
      <c r="B68" s="103">
        <v>44246.0</v>
      </c>
      <c r="C68" s="9" t="s">
        <v>23</v>
      </c>
      <c r="D68" s="27"/>
    </row>
    <row r="69" ht="15.75" customHeight="1">
      <c r="A69" s="13" t="s">
        <v>957</v>
      </c>
      <c r="B69" s="7" t="s">
        <v>536</v>
      </c>
      <c r="C69" s="9" t="s">
        <v>8</v>
      </c>
      <c r="D69" s="27" t="s">
        <v>958</v>
      </c>
    </row>
    <row r="70" ht="15.75" customHeight="1">
      <c r="A70" s="13" t="s">
        <v>959</v>
      </c>
      <c r="B70" s="7" t="s">
        <v>536</v>
      </c>
      <c r="C70" s="9" t="s">
        <v>8</v>
      </c>
      <c r="D70" s="27"/>
    </row>
    <row r="71" ht="15.75" customHeight="1">
      <c r="A71" s="13" t="s">
        <v>637</v>
      </c>
      <c r="B71" s="7" t="s">
        <v>536</v>
      </c>
      <c r="C71" s="9" t="s">
        <v>8</v>
      </c>
      <c r="D71" s="27"/>
    </row>
    <row r="72" ht="15.75" customHeight="1">
      <c r="A72" s="19" t="s">
        <v>852</v>
      </c>
      <c r="B72" s="7" t="s">
        <v>536</v>
      </c>
      <c r="C72" s="9" t="s">
        <v>8</v>
      </c>
      <c r="D72" s="6" t="s">
        <v>853</v>
      </c>
    </row>
    <row r="73" ht="15.75" customHeight="1">
      <c r="A73" s="13" t="s">
        <v>540</v>
      </c>
      <c r="B73" s="26"/>
      <c r="C73" s="9" t="s">
        <v>8</v>
      </c>
      <c r="D73" s="6" t="s">
        <v>541</v>
      </c>
    </row>
    <row r="74" ht="15.75" customHeight="1">
      <c r="A74" s="19" t="s">
        <v>960</v>
      </c>
      <c r="B74" s="206">
        <v>44265.0</v>
      </c>
      <c r="C74" s="9" t="s">
        <v>8</v>
      </c>
      <c r="D74" s="6" t="s">
        <v>961</v>
      </c>
    </row>
    <row r="75" ht="15.75" customHeight="1">
      <c r="A75" s="19" t="s">
        <v>36</v>
      </c>
      <c r="B75" s="26"/>
      <c r="C75" s="9" t="s">
        <v>8</v>
      </c>
      <c r="D75" s="6"/>
    </row>
    <row r="76" ht="15.75" customHeight="1">
      <c r="A76" s="137" t="s">
        <v>962</v>
      </c>
      <c r="B76" s="26"/>
      <c r="C76" s="9" t="s">
        <v>8</v>
      </c>
      <c r="D76" s="6"/>
    </row>
    <row r="77" ht="15.75" customHeight="1">
      <c r="A77" s="137" t="s">
        <v>963</v>
      </c>
      <c r="B77" s="26"/>
      <c r="C77" s="9" t="s">
        <v>8</v>
      </c>
      <c r="D77" s="6" t="s">
        <v>545</v>
      </c>
    </row>
    <row r="78" ht="15.75" customHeight="1">
      <c r="A78" s="117" t="s">
        <v>98</v>
      </c>
      <c r="B78" s="114"/>
      <c r="C78" s="115"/>
      <c r="D78" s="114"/>
    </row>
    <row r="79" ht="15.75" customHeight="1">
      <c r="A79" s="13" t="s">
        <v>107</v>
      </c>
      <c r="B79" s="6" t="s">
        <v>644</v>
      </c>
      <c r="C79" s="19" t="s">
        <v>645</v>
      </c>
      <c r="D79" s="6"/>
    </row>
    <row r="80" ht="15.75" customHeight="1">
      <c r="A80" s="13" t="s">
        <v>274</v>
      </c>
      <c r="B80" s="6" t="s">
        <v>964</v>
      </c>
      <c r="C80" s="106" t="s">
        <v>8</v>
      </c>
      <c r="D80" s="6" t="s">
        <v>965</v>
      </c>
    </row>
    <row r="81" ht="15.75" customHeight="1">
      <c r="A81" s="19" t="s">
        <v>656</v>
      </c>
      <c r="B81" s="160" t="s">
        <v>966</v>
      </c>
      <c r="C81" s="106" t="s">
        <v>8</v>
      </c>
      <c r="D81" s="6" t="s">
        <v>967</v>
      </c>
    </row>
    <row r="82" ht="15.75" customHeight="1">
      <c r="A82" s="181" t="s">
        <v>660</v>
      </c>
      <c r="B82" s="160" t="s">
        <v>859</v>
      </c>
      <c r="C82" s="106" t="s">
        <v>8</v>
      </c>
      <c r="D82" s="6"/>
    </row>
    <row r="83" ht="15.75" customHeight="1">
      <c r="A83" s="19" t="s">
        <v>662</v>
      </c>
      <c r="B83" s="160" t="s">
        <v>663</v>
      </c>
      <c r="C83" s="106" t="s">
        <v>8</v>
      </c>
      <c r="D83" s="6"/>
    </row>
    <row r="84" ht="15.75" customHeight="1">
      <c r="A84" s="19" t="s">
        <v>764</v>
      </c>
      <c r="B84" s="160" t="s">
        <v>765</v>
      </c>
      <c r="C84" s="106" t="s">
        <v>8</v>
      </c>
      <c r="D84" s="6"/>
    </row>
    <row r="85" ht="15.75" customHeight="1">
      <c r="A85" s="181" t="s">
        <v>870</v>
      </c>
      <c r="B85" s="160" t="s">
        <v>663</v>
      </c>
      <c r="C85" s="66" t="s">
        <v>23</v>
      </c>
      <c r="D85" s="195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</row>
    <row r="86" ht="15.75" customHeight="1">
      <c r="A86" s="13" t="s">
        <v>968</v>
      </c>
      <c r="B86" s="160" t="s">
        <v>964</v>
      </c>
      <c r="C86" s="13" t="s">
        <v>8</v>
      </c>
      <c r="D86" s="160" t="s">
        <v>969</v>
      </c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</row>
    <row r="87" ht="15.75" customHeight="1">
      <c r="A87" s="13" t="s">
        <v>970</v>
      </c>
      <c r="B87" s="160" t="s">
        <v>644</v>
      </c>
      <c r="C87" s="19" t="s">
        <v>8</v>
      </c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</row>
    <row r="88" ht="15.75" customHeight="1">
      <c r="A88" s="13" t="s">
        <v>971</v>
      </c>
      <c r="B88" s="160" t="s">
        <v>663</v>
      </c>
      <c r="C88" s="66" t="s">
        <v>23</v>
      </c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</row>
    <row r="89" ht="15.75" customHeight="1">
      <c r="A89" s="13" t="s">
        <v>972</v>
      </c>
      <c r="B89" s="160" t="s">
        <v>966</v>
      </c>
      <c r="C89" s="19" t="s">
        <v>8</v>
      </c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</row>
    <row r="90" ht="15.75" customHeight="1">
      <c r="A90" s="13" t="s">
        <v>973</v>
      </c>
      <c r="B90" s="160" t="s">
        <v>974</v>
      </c>
      <c r="C90" s="19" t="s">
        <v>8</v>
      </c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</row>
    <row r="91" ht="15.75" customHeight="1">
      <c r="A91" s="13" t="s">
        <v>975</v>
      </c>
      <c r="B91" s="160" t="s">
        <v>964</v>
      </c>
      <c r="C91" s="66" t="s">
        <v>23</v>
      </c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</row>
    <row r="92" ht="15.75" customHeight="1">
      <c r="A92" s="13" t="s">
        <v>976</v>
      </c>
      <c r="B92" s="160" t="s">
        <v>977</v>
      </c>
      <c r="C92" s="19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</row>
    <row r="93" ht="15.75" customHeight="1">
      <c r="A93" s="181" t="s">
        <v>978</v>
      </c>
      <c r="B93" s="160" t="s">
        <v>765</v>
      </c>
      <c r="C93" s="19" t="s">
        <v>8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</row>
    <row r="94" ht="15.75" customHeight="1">
      <c r="A94" s="13" t="s">
        <v>979</v>
      </c>
      <c r="B94" s="160" t="s">
        <v>765</v>
      </c>
      <c r="C94" s="19" t="s">
        <v>8</v>
      </c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</row>
    <row r="95" ht="15.75" customHeight="1">
      <c r="A95" s="181" t="s">
        <v>980</v>
      </c>
      <c r="B95" s="160"/>
      <c r="C95" s="19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</row>
    <row r="96" ht="15.75" customHeight="1">
      <c r="A96" s="181" t="s">
        <v>981</v>
      </c>
      <c r="B96" s="160"/>
      <c r="C96" s="19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</row>
    <row r="97" ht="15.75" customHeight="1">
      <c r="A97" s="181" t="s">
        <v>982</v>
      </c>
      <c r="B97" s="160"/>
      <c r="C97" s="19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</row>
    <row r="98" ht="15.75" customHeight="1">
      <c r="A98" s="181" t="s">
        <v>983</v>
      </c>
      <c r="B98" s="160" t="s">
        <v>964</v>
      </c>
      <c r="C98" s="19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</row>
    <row r="99" ht="15.75" customHeight="1">
      <c r="A99" s="106" t="s">
        <v>984</v>
      </c>
      <c r="B99" s="160" t="s">
        <v>948</v>
      </c>
      <c r="C99" s="106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</row>
    <row r="100" ht="15.75" customHeight="1">
      <c r="A100" s="117" t="s">
        <v>565</v>
      </c>
      <c r="B100" s="142"/>
      <c r="C100" s="115"/>
      <c r="D100" s="114"/>
    </row>
    <row r="101" ht="15.75" customHeight="1">
      <c r="A101" s="13" t="s">
        <v>877</v>
      </c>
      <c r="B101" s="143">
        <v>44242.0</v>
      </c>
      <c r="C101" s="66" t="s">
        <v>120</v>
      </c>
      <c r="D101" s="6"/>
    </row>
    <row r="102" ht="15.75" customHeight="1">
      <c r="A102" s="13" t="s">
        <v>985</v>
      </c>
      <c r="B102" s="143">
        <v>44242.0</v>
      </c>
      <c r="C102" s="66" t="s">
        <v>120</v>
      </c>
      <c r="D102" s="6"/>
    </row>
    <row r="103" ht="15.75" customHeight="1">
      <c r="A103" s="6" t="s">
        <v>986</v>
      </c>
      <c r="B103" s="143">
        <v>44242.0</v>
      </c>
      <c r="C103" s="66" t="s">
        <v>120</v>
      </c>
      <c r="D103" s="6"/>
    </row>
    <row r="104" ht="15.75" customHeight="1">
      <c r="A104" s="13" t="s">
        <v>881</v>
      </c>
      <c r="B104" s="143">
        <v>44243.0</v>
      </c>
      <c r="C104" s="66" t="s">
        <v>987</v>
      </c>
      <c r="D104" s="6" t="s">
        <v>882</v>
      </c>
    </row>
    <row r="105" ht="15.75" customHeight="1">
      <c r="A105" s="13" t="s">
        <v>988</v>
      </c>
      <c r="B105" s="143">
        <v>44243.0</v>
      </c>
      <c r="C105" s="66" t="s">
        <v>120</v>
      </c>
      <c r="D105" s="6"/>
    </row>
    <row r="106" ht="15.75" customHeight="1">
      <c r="A106" s="13" t="s">
        <v>989</v>
      </c>
      <c r="B106" s="143">
        <v>44243.0</v>
      </c>
      <c r="C106" s="66" t="s">
        <v>120</v>
      </c>
      <c r="D106" s="6"/>
    </row>
    <row r="107" ht="15.75" customHeight="1">
      <c r="A107" s="13" t="s">
        <v>990</v>
      </c>
      <c r="B107" s="143">
        <v>44243.0</v>
      </c>
      <c r="C107" s="66" t="s">
        <v>120</v>
      </c>
      <c r="D107" s="6"/>
    </row>
    <row r="108" ht="15.75" customHeight="1">
      <c r="A108" s="13" t="s">
        <v>991</v>
      </c>
      <c r="B108" s="143">
        <v>44244.0</v>
      </c>
      <c r="C108" s="66" t="s">
        <v>120</v>
      </c>
    </row>
    <row r="109" ht="15.75" customHeight="1">
      <c r="A109" s="13" t="s">
        <v>992</v>
      </c>
      <c r="B109" s="143">
        <v>44244.0</v>
      </c>
      <c r="C109" s="66" t="s">
        <v>120</v>
      </c>
      <c r="D109" s="6"/>
    </row>
    <row r="110" ht="15.75" customHeight="1">
      <c r="A110" s="19" t="s">
        <v>583</v>
      </c>
      <c r="B110" s="143">
        <v>44244.0</v>
      </c>
      <c r="C110" s="96" t="s">
        <v>129</v>
      </c>
      <c r="D110" s="6"/>
    </row>
    <row r="111" ht="15.75" customHeight="1">
      <c r="A111" s="19" t="s">
        <v>993</v>
      </c>
      <c r="B111" s="143">
        <v>44244.0</v>
      </c>
      <c r="C111" s="66" t="s">
        <v>120</v>
      </c>
      <c r="D111" s="6"/>
    </row>
    <row r="112" ht="15.75" customHeight="1">
      <c r="A112" s="19" t="s">
        <v>141</v>
      </c>
      <c r="B112" s="143">
        <v>44244.0</v>
      </c>
      <c r="C112" s="67" t="s">
        <v>574</v>
      </c>
      <c r="D112" s="6"/>
    </row>
    <row r="113" ht="15.75" customHeight="1">
      <c r="A113" s="19" t="s">
        <v>994</v>
      </c>
      <c r="B113" s="143">
        <v>44245.0</v>
      </c>
      <c r="C113" s="67" t="s">
        <v>995</v>
      </c>
      <c r="D113" s="6"/>
    </row>
    <row r="114" ht="15.75" customHeight="1">
      <c r="A114" s="19" t="s">
        <v>996</v>
      </c>
      <c r="B114" s="143">
        <v>44245.0</v>
      </c>
      <c r="C114" s="96" t="s">
        <v>129</v>
      </c>
      <c r="D114" s="6"/>
    </row>
    <row r="115" ht="15.75" customHeight="1">
      <c r="A115" s="13" t="s">
        <v>573</v>
      </c>
      <c r="B115" s="143">
        <v>44245.0</v>
      </c>
      <c r="C115" s="67" t="s">
        <v>887</v>
      </c>
      <c r="D115" s="6"/>
    </row>
    <row r="116" ht="15.75" customHeight="1">
      <c r="A116" s="13" t="s">
        <v>997</v>
      </c>
      <c r="B116" s="143">
        <v>44246.0</v>
      </c>
      <c r="C116" s="66" t="s">
        <v>120</v>
      </c>
      <c r="D116" s="6"/>
    </row>
    <row r="117" ht="15.75" customHeight="1">
      <c r="A117" s="13" t="s">
        <v>888</v>
      </c>
      <c r="B117" s="143">
        <v>44246.0</v>
      </c>
      <c r="C117" s="96" t="s">
        <v>129</v>
      </c>
      <c r="D117" s="6"/>
    </row>
    <row r="118" ht="15.75" customHeight="1">
      <c r="A118" s="19" t="s">
        <v>998</v>
      </c>
      <c r="B118" s="143">
        <v>44246.0</v>
      </c>
      <c r="C118" s="96" t="s">
        <v>129</v>
      </c>
      <c r="D118" s="6"/>
    </row>
    <row r="119" ht="15.75" customHeight="1">
      <c r="A119" s="13" t="s">
        <v>886</v>
      </c>
      <c r="B119" s="143">
        <v>44249.0</v>
      </c>
      <c r="C119" s="66" t="s">
        <v>999</v>
      </c>
      <c r="D119" s="6"/>
    </row>
    <row r="120" ht="15.75" customHeight="1">
      <c r="A120" s="13" t="s">
        <v>577</v>
      </c>
      <c r="B120" s="143"/>
      <c r="C120" s="19"/>
      <c r="D120" s="6"/>
    </row>
    <row r="121" ht="15.75" customHeight="1">
      <c r="A121" s="13" t="s">
        <v>131</v>
      </c>
      <c r="B121" s="143"/>
      <c r="C121" s="19"/>
      <c r="D121" s="6"/>
    </row>
    <row r="122" ht="15.75" customHeight="1">
      <c r="A122" s="19" t="s">
        <v>139</v>
      </c>
      <c r="B122" s="6"/>
      <c r="C122" s="19"/>
      <c r="D122" s="6"/>
    </row>
    <row r="123" ht="15.75" customHeight="1">
      <c r="A123" s="19" t="s">
        <v>142</v>
      </c>
      <c r="B123" s="56"/>
      <c r="C123" s="19"/>
      <c r="D123" s="6"/>
    </row>
    <row r="124" ht="15.75" customHeight="1">
      <c r="B124" s="56"/>
      <c r="C124" s="19"/>
      <c r="D124" s="6"/>
    </row>
    <row r="125" ht="15.75" customHeight="1">
      <c r="A125" s="130" t="s">
        <v>143</v>
      </c>
      <c r="B125" s="125"/>
      <c r="C125" s="115"/>
      <c r="D125" s="114"/>
    </row>
    <row r="126" ht="15.75" customHeight="1">
      <c r="A126" s="89" t="s">
        <v>1000</v>
      </c>
      <c r="B126" s="162">
        <v>44245.0</v>
      </c>
      <c r="C126" s="89" t="s">
        <v>23</v>
      </c>
      <c r="D126" s="99" t="s">
        <v>1001</v>
      </c>
    </row>
    <row r="127" ht="15.75" customHeight="1">
      <c r="A127" s="89" t="s">
        <v>1002</v>
      </c>
      <c r="B127" s="162">
        <v>44246.0</v>
      </c>
      <c r="C127" s="89" t="s">
        <v>23</v>
      </c>
      <c r="D127" s="99" t="s">
        <v>1003</v>
      </c>
    </row>
    <row r="128" ht="15.75" customHeight="1">
      <c r="A128" s="89" t="s">
        <v>1004</v>
      </c>
      <c r="B128" s="162">
        <v>44247.0</v>
      </c>
      <c r="C128" s="89" t="s">
        <v>23</v>
      </c>
      <c r="D128" s="99" t="s">
        <v>1005</v>
      </c>
    </row>
    <row r="129" ht="15.75" customHeight="1">
      <c r="A129" s="89" t="s">
        <v>1006</v>
      </c>
      <c r="B129" s="162">
        <v>44247.0</v>
      </c>
      <c r="C129" s="89" t="s">
        <v>23</v>
      </c>
      <c r="D129" s="99" t="s">
        <v>1007</v>
      </c>
    </row>
    <row r="130" ht="15.75" customHeight="1">
      <c r="A130" s="117" t="s">
        <v>147</v>
      </c>
      <c r="B130" s="151"/>
      <c r="C130" s="115"/>
      <c r="D130" s="114"/>
    </row>
    <row r="131" ht="15.75" customHeight="1">
      <c r="A131" s="66" t="s">
        <v>790</v>
      </c>
      <c r="B131" s="150">
        <v>44242.0</v>
      </c>
      <c r="C131" s="19" t="s">
        <v>791</v>
      </c>
      <c r="D131" s="6"/>
    </row>
    <row r="132" ht="15.75" customHeight="1">
      <c r="A132" s="19" t="s">
        <v>400</v>
      </c>
      <c r="B132" s="150">
        <v>44255.0</v>
      </c>
      <c r="C132" s="19" t="s">
        <v>8</v>
      </c>
      <c r="D132" s="6"/>
    </row>
    <row r="133" ht="15.75" customHeight="1">
      <c r="A133" s="19" t="s">
        <v>892</v>
      </c>
      <c r="B133" s="183" t="s">
        <v>793</v>
      </c>
      <c r="C133" s="19" t="s">
        <v>152</v>
      </c>
      <c r="D133" s="6"/>
    </row>
    <row r="134" ht="15.75" customHeight="1">
      <c r="A134" s="19" t="s">
        <v>893</v>
      </c>
      <c r="B134" s="164">
        <v>44255.0</v>
      </c>
      <c r="C134" s="19" t="s">
        <v>894</v>
      </c>
    </row>
    <row r="135" ht="15.75" customHeight="1">
      <c r="A135" s="19" t="s">
        <v>683</v>
      </c>
      <c r="B135" s="164">
        <v>44255.0</v>
      </c>
      <c r="C135" s="19" t="s">
        <v>8</v>
      </c>
    </row>
    <row r="136" ht="15.75" customHeight="1">
      <c r="A136" s="19" t="s">
        <v>1008</v>
      </c>
      <c r="B136" s="164">
        <v>44256.0</v>
      </c>
      <c r="C136" s="19" t="s">
        <v>1009</v>
      </c>
    </row>
    <row r="137" ht="15.75" customHeight="1">
      <c r="A137" s="19" t="s">
        <v>801</v>
      </c>
      <c r="B137" s="164">
        <v>44242.0</v>
      </c>
      <c r="C137" s="19" t="s">
        <v>1010</v>
      </c>
    </row>
    <row r="138" ht="15.75" customHeight="1">
      <c r="A138" s="19" t="s">
        <v>896</v>
      </c>
      <c r="B138" s="164">
        <v>44244.0</v>
      </c>
      <c r="C138" s="19" t="s">
        <v>897</v>
      </c>
    </row>
    <row r="139" ht="18.0" customHeight="1">
      <c r="A139" s="19" t="s">
        <v>898</v>
      </c>
      <c r="B139" s="164">
        <v>44255.0</v>
      </c>
      <c r="C139" s="19" t="s">
        <v>899</v>
      </c>
    </row>
    <row r="140" ht="15.75" customHeight="1">
      <c r="A140" s="19" t="s">
        <v>900</v>
      </c>
      <c r="B140" s="164">
        <v>44242.0</v>
      </c>
      <c r="C140" s="19" t="s">
        <v>901</v>
      </c>
    </row>
    <row r="141" ht="15.75" customHeight="1">
      <c r="A141" s="19" t="s">
        <v>902</v>
      </c>
      <c r="B141" s="164">
        <v>44256.0</v>
      </c>
      <c r="C141" s="19" t="s">
        <v>152</v>
      </c>
    </row>
    <row r="142" ht="15.75" customHeight="1">
      <c r="A142" s="19" t="s">
        <v>1011</v>
      </c>
      <c r="B142" s="164">
        <v>44256.0</v>
      </c>
      <c r="C142" s="19" t="s">
        <v>8</v>
      </c>
    </row>
    <row r="143" ht="15.75" customHeight="1">
      <c r="A143" s="19" t="s">
        <v>1012</v>
      </c>
      <c r="B143" s="164">
        <v>44256.0</v>
      </c>
      <c r="C143" s="19" t="s">
        <v>8</v>
      </c>
    </row>
    <row r="144" ht="15.75" customHeight="1">
      <c r="A144" s="19" t="s">
        <v>1013</v>
      </c>
      <c r="B144" s="164">
        <v>44256.0</v>
      </c>
      <c r="C144" s="19" t="s">
        <v>8</v>
      </c>
    </row>
    <row r="145" ht="15.75" customHeight="1">
      <c r="A145" s="19" t="s">
        <v>1014</v>
      </c>
      <c r="B145" s="164">
        <v>44256.0</v>
      </c>
      <c r="C145" s="19" t="s">
        <v>1015</v>
      </c>
    </row>
    <row r="146" ht="15.75" customHeight="1">
      <c r="A146" s="19"/>
      <c r="C146" s="19"/>
    </row>
    <row r="147" ht="15.75" customHeight="1">
      <c r="A147" s="19"/>
      <c r="C147" s="19"/>
    </row>
    <row r="148" ht="15.75" customHeight="1">
      <c r="A148" s="19"/>
      <c r="C148" s="19"/>
    </row>
    <row r="149" ht="15.75" customHeight="1">
      <c r="A149" s="19"/>
      <c r="C149" s="19"/>
    </row>
    <row r="150" ht="15.75" customHeight="1">
      <c r="A150" s="19"/>
      <c r="C150" s="19"/>
    </row>
    <row r="151" ht="15.75" customHeight="1">
      <c r="A151" s="19"/>
      <c r="C151" s="19"/>
    </row>
    <row r="152" ht="15.75" customHeight="1">
      <c r="A152" s="19"/>
      <c r="C152" s="19"/>
    </row>
    <row r="153" ht="15.75" customHeight="1">
      <c r="A153" s="19"/>
      <c r="C153" s="19"/>
    </row>
    <row r="154" ht="15.75" customHeight="1">
      <c r="A154" s="19"/>
      <c r="C154" s="19"/>
    </row>
    <row r="155" ht="15.75" customHeight="1">
      <c r="A155" s="19"/>
      <c r="C155" s="19"/>
    </row>
    <row r="156" ht="15.75" customHeight="1">
      <c r="A156" s="19"/>
      <c r="C156" s="19"/>
    </row>
    <row r="157" ht="15.75" customHeight="1">
      <c r="A157" s="19"/>
      <c r="C157" s="19"/>
    </row>
    <row r="158" ht="15.75" customHeight="1">
      <c r="A158" s="19"/>
      <c r="C158" s="19"/>
    </row>
    <row r="159" ht="15.75" customHeight="1">
      <c r="A159" s="19"/>
      <c r="C159" s="19"/>
    </row>
    <row r="160" ht="15.75" customHeight="1">
      <c r="A160" s="19"/>
      <c r="C160" s="19"/>
    </row>
    <row r="161" ht="15.75" customHeight="1">
      <c r="A161" s="19"/>
      <c r="C161" s="19"/>
    </row>
    <row r="162" ht="15.75" customHeight="1">
      <c r="A162" s="19"/>
      <c r="C162" s="19"/>
    </row>
    <row r="163" ht="15.75" customHeight="1">
      <c r="A163" s="19"/>
      <c r="C163" s="19"/>
    </row>
    <row r="164" ht="15.75" customHeight="1">
      <c r="A164" s="19"/>
      <c r="C164" s="19"/>
    </row>
    <row r="165" ht="15.75" customHeight="1">
      <c r="A165" s="19"/>
      <c r="C165" s="19"/>
    </row>
    <row r="166" ht="15.75" customHeight="1">
      <c r="A166" s="19"/>
      <c r="C166" s="19"/>
    </row>
    <row r="167" ht="15.75" customHeight="1">
      <c r="A167" s="19"/>
      <c r="C167" s="19"/>
    </row>
    <row r="168" ht="15.75" customHeight="1">
      <c r="A168" s="19"/>
      <c r="C168" s="19"/>
    </row>
    <row r="169" ht="15.75" customHeight="1">
      <c r="A169" s="19"/>
      <c r="C169" s="19"/>
    </row>
    <row r="170" ht="15.75" customHeight="1">
      <c r="A170" s="19"/>
      <c r="C170" s="19"/>
    </row>
    <row r="171" ht="15.75" customHeight="1">
      <c r="A171" s="19"/>
      <c r="C171" s="19"/>
    </row>
    <row r="172" ht="15.75" customHeight="1">
      <c r="A172" s="19"/>
      <c r="C172" s="19"/>
    </row>
    <row r="173" ht="15.75" customHeight="1">
      <c r="A173" s="19"/>
      <c r="C173" s="19"/>
    </row>
    <row r="174" ht="15.75" customHeight="1">
      <c r="A174" s="19"/>
      <c r="C174" s="19"/>
    </row>
    <row r="175" ht="15.75" customHeight="1">
      <c r="A175" s="19"/>
      <c r="C175" s="19"/>
    </row>
    <row r="176" ht="15.75" customHeight="1">
      <c r="A176" s="19"/>
      <c r="C176" s="19"/>
    </row>
    <row r="177" ht="15.75" customHeight="1">
      <c r="A177" s="19"/>
      <c r="C177" s="19"/>
    </row>
    <row r="178" ht="15.75" customHeight="1">
      <c r="A178" s="19"/>
      <c r="C178" s="19"/>
    </row>
    <row r="179" ht="15.75" customHeight="1">
      <c r="A179" s="19"/>
      <c r="C179" s="19"/>
    </row>
    <row r="180" ht="15.75" customHeight="1">
      <c r="A180" s="19"/>
      <c r="C180" s="19"/>
    </row>
    <row r="181" ht="15.75" customHeight="1">
      <c r="A181" s="19"/>
      <c r="C181" s="19"/>
    </row>
    <row r="182" ht="15.75" customHeight="1">
      <c r="A182" s="19"/>
      <c r="C182" s="19"/>
    </row>
    <row r="183" ht="15.75" customHeight="1">
      <c r="A183" s="19"/>
      <c r="C183" s="19"/>
    </row>
    <row r="184" ht="15.75" customHeight="1">
      <c r="A184" s="19"/>
      <c r="C184" s="19"/>
    </row>
    <row r="185" ht="15.75" customHeight="1">
      <c r="A185" s="19"/>
      <c r="C185" s="19"/>
    </row>
    <row r="186" ht="15.75" customHeight="1">
      <c r="A186" s="19"/>
      <c r="C186" s="19"/>
    </row>
    <row r="187" ht="15.75" customHeight="1">
      <c r="A187" s="19"/>
      <c r="C187" s="19"/>
    </row>
    <row r="188" ht="15.75" customHeight="1">
      <c r="A188" s="19"/>
      <c r="C188" s="19"/>
    </row>
    <row r="189" ht="15.75" customHeight="1">
      <c r="A189" s="19"/>
      <c r="C189" s="19"/>
    </row>
    <row r="190" ht="15.75" customHeight="1">
      <c r="A190" s="19"/>
      <c r="C190" s="19"/>
    </row>
    <row r="191" ht="15.75" customHeight="1">
      <c r="A191" s="19"/>
      <c r="C191" s="19"/>
    </row>
    <row r="192" ht="15.75" customHeight="1">
      <c r="A192" s="19"/>
      <c r="C192" s="19"/>
    </row>
    <row r="193" ht="15.75" customHeight="1">
      <c r="A193" s="19"/>
      <c r="C193" s="19"/>
    </row>
    <row r="194" ht="15.75" customHeight="1">
      <c r="A194" s="19"/>
      <c r="C194" s="19"/>
    </row>
    <row r="195" ht="15.75" customHeight="1">
      <c r="A195" s="19"/>
      <c r="C195" s="19"/>
    </row>
    <row r="196" ht="15.75" customHeight="1">
      <c r="A196" s="19"/>
      <c r="C196" s="19"/>
    </row>
    <row r="197" ht="15.75" customHeight="1">
      <c r="A197" s="19"/>
      <c r="C197" s="19"/>
    </row>
    <row r="198" ht="15.75" customHeight="1">
      <c r="A198" s="19"/>
      <c r="C198" s="19"/>
    </row>
    <row r="199" ht="15.75" customHeight="1">
      <c r="A199" s="19"/>
      <c r="C199" s="19"/>
    </row>
    <row r="200" ht="15.75" customHeight="1">
      <c r="A200" s="19"/>
      <c r="C200" s="19"/>
    </row>
    <row r="201" ht="15.75" customHeight="1">
      <c r="A201" s="19"/>
      <c r="C201" s="19"/>
    </row>
    <row r="202" ht="15.75" customHeight="1">
      <c r="A202" s="19"/>
      <c r="C202" s="19"/>
    </row>
    <row r="203" ht="15.75" customHeight="1">
      <c r="A203" s="19"/>
      <c r="C203" s="19"/>
    </row>
    <row r="204" ht="15.75" customHeight="1">
      <c r="A204" s="19"/>
      <c r="C204" s="19"/>
    </row>
    <row r="205" ht="15.75" customHeight="1">
      <c r="A205" s="19"/>
      <c r="C205" s="19"/>
    </row>
    <row r="206" ht="15.75" customHeight="1">
      <c r="A206" s="19"/>
      <c r="C206" s="19"/>
    </row>
    <row r="207" ht="15.75" customHeight="1">
      <c r="A207" s="19"/>
      <c r="C207" s="19"/>
    </row>
    <row r="208" ht="15.75" customHeight="1">
      <c r="A208" s="19"/>
      <c r="C208" s="19"/>
    </row>
    <row r="209" ht="15.75" customHeight="1">
      <c r="A209" s="19"/>
      <c r="C209" s="19"/>
    </row>
    <row r="210" ht="15.75" customHeight="1">
      <c r="A210" s="19"/>
      <c r="C210" s="19"/>
    </row>
    <row r="211" ht="15.75" customHeight="1">
      <c r="A211" s="19"/>
      <c r="C211" s="19"/>
    </row>
    <row r="212" ht="15.75" customHeight="1">
      <c r="A212" s="19"/>
      <c r="C212" s="19"/>
    </row>
    <row r="213" ht="15.75" customHeight="1">
      <c r="A213" s="19"/>
      <c r="C213" s="19"/>
    </row>
    <row r="214" ht="15.75" customHeight="1">
      <c r="A214" s="19"/>
      <c r="C214" s="19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>
      <c r="A223" s="19"/>
      <c r="C223" s="19"/>
    </row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  <c r="C230" s="19"/>
    </row>
    <row r="231" ht="15.75" customHeight="1">
      <c r="A231" s="19"/>
      <c r="C231" s="19"/>
    </row>
    <row r="232" ht="15.75" customHeight="1">
      <c r="A232" s="19"/>
      <c r="C232" s="19"/>
    </row>
    <row r="233" ht="15.75" customHeight="1">
      <c r="A233" s="19"/>
      <c r="C233" s="19"/>
    </row>
    <row r="234" ht="15.75" customHeight="1">
      <c r="A234" s="19"/>
      <c r="C234" s="19"/>
    </row>
    <row r="235" ht="15.75" customHeight="1">
      <c r="A235" s="19"/>
      <c r="C235" s="19"/>
    </row>
    <row r="236" ht="15.75" customHeight="1">
      <c r="A236" s="19"/>
      <c r="C236" s="19"/>
    </row>
    <row r="237" ht="15.75" customHeight="1">
      <c r="A237" s="19"/>
      <c r="C237" s="19"/>
    </row>
    <row r="238" ht="15.75" customHeight="1">
      <c r="A238" s="19"/>
      <c r="C238" s="19"/>
    </row>
    <row r="239" ht="15.75" customHeight="1">
      <c r="A239" s="19"/>
      <c r="C239" s="19"/>
    </row>
    <row r="240" ht="15.75" customHeight="1">
      <c r="A240" s="19"/>
      <c r="C240" s="19"/>
    </row>
    <row r="241" ht="15.75" customHeight="1">
      <c r="A241" s="19"/>
      <c r="C241" s="19"/>
    </row>
    <row r="242" ht="15.75" customHeight="1">
      <c r="A242" s="19"/>
      <c r="C242" s="19"/>
    </row>
    <row r="243" ht="15.75" customHeight="1">
      <c r="A243" s="19"/>
      <c r="C243" s="19"/>
    </row>
    <row r="244" ht="15.75" customHeight="1">
      <c r="A244" s="19"/>
      <c r="C244" s="19"/>
    </row>
    <row r="245" ht="15.75" customHeight="1">
      <c r="A245" s="19"/>
      <c r="C245" s="19"/>
    </row>
    <row r="246" ht="15.75" customHeight="1">
      <c r="A246" s="19"/>
      <c r="C246" s="19"/>
    </row>
    <row r="247" ht="15.75" customHeight="1">
      <c r="A247" s="19"/>
      <c r="C247" s="19"/>
    </row>
    <row r="248" ht="15.75" customHeight="1">
      <c r="A248" s="19"/>
      <c r="C248" s="19"/>
    </row>
    <row r="249" ht="15.75" customHeight="1">
      <c r="A249" s="19"/>
      <c r="C249" s="19"/>
    </row>
    <row r="250" ht="15.75" customHeight="1">
      <c r="A250" s="19"/>
      <c r="C250" s="19"/>
    </row>
    <row r="251" ht="15.75" customHeight="1">
      <c r="A251" s="19"/>
      <c r="C251" s="19"/>
    </row>
    <row r="252" ht="15.75" customHeight="1">
      <c r="A252" s="19"/>
      <c r="C252" s="19"/>
    </row>
    <row r="253" ht="15.75" customHeight="1">
      <c r="A253" s="19"/>
      <c r="C253" s="19"/>
    </row>
    <row r="254" ht="15.75" customHeight="1">
      <c r="A254" s="19"/>
      <c r="C254" s="19"/>
    </row>
    <row r="255" ht="15.75" customHeight="1">
      <c r="A255" s="19"/>
      <c r="C255" s="19"/>
    </row>
    <row r="256" ht="15.75" customHeight="1">
      <c r="A256" s="19"/>
      <c r="C256" s="19"/>
    </row>
    <row r="257" ht="15.75" customHeight="1">
      <c r="A257" s="19"/>
      <c r="C257" s="19"/>
    </row>
    <row r="258" ht="15.75" customHeight="1">
      <c r="A258" s="19"/>
      <c r="C258" s="19"/>
    </row>
    <row r="259" ht="15.75" customHeight="1">
      <c r="A259" s="19"/>
      <c r="C259" s="19"/>
    </row>
    <row r="260" ht="15.75" customHeight="1">
      <c r="A260" s="19"/>
      <c r="C260" s="19"/>
    </row>
    <row r="261" ht="15.75" customHeight="1">
      <c r="A261" s="19"/>
      <c r="C261" s="19"/>
    </row>
    <row r="262" ht="15.75" customHeight="1">
      <c r="A262" s="19"/>
      <c r="C262" s="19"/>
    </row>
    <row r="263" ht="15.75" customHeight="1">
      <c r="A263" s="19"/>
      <c r="C263" s="19"/>
    </row>
    <row r="264" ht="15.75" customHeight="1">
      <c r="A264" s="19"/>
      <c r="C264" s="19"/>
    </row>
    <row r="265" ht="15.75" customHeight="1">
      <c r="A265" s="19"/>
      <c r="C265" s="19"/>
    </row>
    <row r="266" ht="15.75" customHeight="1">
      <c r="A266" s="19"/>
      <c r="C266" s="19"/>
    </row>
    <row r="267" ht="15.75" customHeight="1">
      <c r="A267" s="19"/>
      <c r="C267" s="19"/>
    </row>
    <row r="268" ht="15.75" customHeight="1">
      <c r="A268" s="19"/>
      <c r="C268" s="19"/>
    </row>
    <row r="269" ht="15.75" customHeight="1">
      <c r="A269" s="19"/>
      <c r="C269" s="19"/>
    </row>
    <row r="270" ht="15.75" customHeight="1">
      <c r="A270" s="19"/>
      <c r="C270" s="19"/>
    </row>
    <row r="271" ht="15.75" customHeight="1">
      <c r="A271" s="19"/>
      <c r="C271" s="19"/>
    </row>
    <row r="272" ht="15.75" customHeight="1">
      <c r="A272" s="19"/>
      <c r="C272" s="19"/>
    </row>
    <row r="273" ht="15.75" customHeight="1">
      <c r="A273" s="19"/>
      <c r="C273" s="19"/>
    </row>
    <row r="274" ht="15.75" customHeight="1">
      <c r="A274" s="19"/>
      <c r="C274" s="19"/>
    </row>
    <row r="275" ht="15.75" customHeight="1">
      <c r="A275" s="19"/>
      <c r="C275" s="19"/>
    </row>
    <row r="276" ht="15.75" customHeight="1">
      <c r="A276" s="19"/>
      <c r="C276" s="19"/>
    </row>
    <row r="277" ht="15.75" customHeight="1">
      <c r="A277" s="19"/>
      <c r="C277" s="19"/>
    </row>
    <row r="278" ht="15.75" customHeight="1">
      <c r="A278" s="19"/>
      <c r="C278" s="19"/>
    </row>
    <row r="279" ht="15.75" customHeight="1">
      <c r="A279" s="19"/>
      <c r="C279" s="19"/>
    </row>
    <row r="280" ht="15.75" customHeight="1">
      <c r="A280" s="19"/>
      <c r="C280" s="19"/>
    </row>
    <row r="281" ht="15.75" customHeight="1">
      <c r="A281" s="19"/>
      <c r="C281" s="19"/>
    </row>
    <row r="282" ht="15.75" customHeight="1">
      <c r="A282" s="19"/>
      <c r="C282" s="19"/>
    </row>
    <row r="283" ht="15.75" customHeight="1">
      <c r="A283" s="19"/>
      <c r="C283" s="19"/>
    </row>
    <row r="284" ht="15.75" customHeight="1">
      <c r="A284" s="19"/>
      <c r="C284" s="19"/>
    </row>
    <row r="285" ht="15.75" customHeight="1">
      <c r="A285" s="19"/>
      <c r="C285" s="19"/>
    </row>
    <row r="286" ht="15.75" customHeight="1">
      <c r="A286" s="19"/>
      <c r="C286" s="19"/>
    </row>
    <row r="287" ht="15.75" customHeight="1">
      <c r="A287" s="19"/>
      <c r="C287" s="19"/>
    </row>
    <row r="288" ht="15.75" customHeight="1">
      <c r="A288" s="19"/>
      <c r="C288" s="19"/>
    </row>
    <row r="289" ht="15.75" customHeight="1">
      <c r="A289" s="19"/>
      <c r="C289" s="19"/>
    </row>
    <row r="290" ht="15.75" customHeight="1">
      <c r="A290" s="19"/>
      <c r="C290" s="19"/>
    </row>
    <row r="291" ht="15.75" customHeight="1">
      <c r="A291" s="19"/>
      <c r="C291" s="19"/>
    </row>
    <row r="292" ht="15.75" customHeight="1">
      <c r="A292" s="19"/>
      <c r="C292" s="19"/>
    </row>
    <row r="293" ht="15.75" customHeight="1">
      <c r="A293" s="19"/>
      <c r="C293" s="19"/>
    </row>
    <row r="294" ht="15.75" customHeight="1">
      <c r="A294" s="19"/>
      <c r="C294" s="19"/>
    </row>
    <row r="295" ht="15.75" customHeight="1">
      <c r="A295" s="19"/>
      <c r="C295" s="19"/>
    </row>
    <row r="296" ht="15.75" customHeight="1">
      <c r="A296" s="19"/>
      <c r="C296" s="19"/>
    </row>
    <row r="297" ht="15.75" customHeight="1">
      <c r="A297" s="19"/>
      <c r="C297" s="19"/>
    </row>
    <row r="298" ht="15.75" customHeight="1">
      <c r="A298" s="19"/>
      <c r="C298" s="19"/>
    </row>
    <row r="299" ht="15.75" customHeight="1">
      <c r="A299" s="19"/>
      <c r="C299" s="19"/>
    </row>
    <row r="300" ht="15.75" customHeight="1">
      <c r="A300" s="19"/>
      <c r="C300" s="19"/>
    </row>
    <row r="301" ht="15.75" customHeight="1">
      <c r="A301" s="19"/>
      <c r="C301" s="19"/>
    </row>
    <row r="302" ht="15.75" customHeight="1">
      <c r="A302" s="19"/>
      <c r="C302" s="19"/>
    </row>
    <row r="303" ht="15.75" customHeight="1">
      <c r="A303" s="19"/>
      <c r="C303" s="19"/>
    </row>
    <row r="304" ht="15.75" customHeight="1">
      <c r="A304" s="19"/>
      <c r="C304" s="19"/>
    </row>
    <row r="305" ht="15.75" customHeight="1">
      <c r="A305" s="19"/>
      <c r="C305" s="19"/>
    </row>
    <row r="306" ht="15.75" customHeight="1">
      <c r="A306" s="19"/>
      <c r="C306" s="19"/>
    </row>
    <row r="307" ht="15.75" customHeight="1">
      <c r="A307" s="19"/>
      <c r="C307" s="19"/>
    </row>
    <row r="308" ht="15.75" customHeight="1">
      <c r="A308" s="19"/>
      <c r="C308" s="19"/>
    </row>
    <row r="309" ht="15.75" customHeight="1">
      <c r="A309" s="19"/>
      <c r="C309" s="19"/>
    </row>
    <row r="310" ht="15.75" customHeight="1">
      <c r="A310" s="19"/>
      <c r="C310" s="19"/>
    </row>
    <row r="311" ht="15.75" customHeight="1">
      <c r="A311" s="19"/>
      <c r="C311" s="19"/>
    </row>
    <row r="312" ht="15.75" customHeight="1">
      <c r="A312" s="19"/>
      <c r="C312" s="19"/>
    </row>
    <row r="313" ht="15.75" customHeight="1">
      <c r="A313" s="19"/>
      <c r="C313" s="19"/>
    </row>
    <row r="314" ht="15.75" customHeight="1">
      <c r="A314" s="19"/>
      <c r="C314" s="19"/>
    </row>
    <row r="315" ht="15.75" customHeight="1">
      <c r="A315" s="19"/>
      <c r="C315" s="19"/>
    </row>
    <row r="316" ht="15.75" customHeight="1">
      <c r="A316" s="19"/>
      <c r="C316" s="19"/>
    </row>
    <row r="317" ht="15.75" customHeight="1">
      <c r="A317" s="19"/>
      <c r="C317" s="19"/>
    </row>
    <row r="318" ht="15.75" customHeight="1">
      <c r="A318" s="19"/>
      <c r="C318" s="19"/>
    </row>
    <row r="319" ht="15.75" customHeight="1">
      <c r="A319" s="19"/>
      <c r="C319" s="19"/>
    </row>
    <row r="320" ht="15.75" customHeight="1">
      <c r="A320" s="19"/>
      <c r="C320" s="19"/>
    </row>
    <row r="321" ht="15.75" customHeight="1">
      <c r="A321" s="19"/>
      <c r="C321" s="19"/>
    </row>
    <row r="322" ht="15.75" customHeight="1">
      <c r="A322" s="19"/>
      <c r="C322" s="19"/>
    </row>
    <row r="323" ht="15.75" customHeight="1">
      <c r="A323" s="19"/>
      <c r="C323" s="19"/>
    </row>
    <row r="324" ht="15.75" customHeight="1">
      <c r="A324" s="19"/>
      <c r="C324" s="19"/>
    </row>
    <row r="325" ht="15.75" customHeight="1">
      <c r="A325" s="19"/>
      <c r="C325" s="19"/>
    </row>
    <row r="326" ht="15.75" customHeight="1">
      <c r="A326" s="19"/>
      <c r="C326" s="19"/>
    </row>
    <row r="327" ht="15.75" customHeight="1">
      <c r="A327" s="19"/>
      <c r="C327" s="19"/>
    </row>
    <row r="328" ht="15.75" customHeight="1">
      <c r="A328" s="19"/>
      <c r="C328" s="19"/>
    </row>
    <row r="329" ht="15.75" customHeight="1">
      <c r="A329" s="19"/>
      <c r="C329" s="19"/>
    </row>
    <row r="330" ht="15.75" customHeight="1">
      <c r="A330" s="19"/>
      <c r="C330" s="19"/>
    </row>
    <row r="331" ht="15.75" customHeight="1">
      <c r="A331" s="19"/>
      <c r="C331" s="19"/>
    </row>
    <row r="332" ht="15.75" customHeight="1">
      <c r="A332" s="19"/>
      <c r="C332" s="19"/>
    </row>
    <row r="333" ht="15.75" customHeight="1">
      <c r="A333" s="19"/>
      <c r="C333" s="19"/>
    </row>
    <row r="334" ht="15.75" customHeight="1">
      <c r="A334" s="19"/>
      <c r="C334" s="19"/>
    </row>
    <row r="335" ht="15.75" customHeight="1">
      <c r="A335" s="19"/>
      <c r="C335" s="19"/>
    </row>
    <row r="336" ht="15.75" customHeight="1">
      <c r="A336" s="19"/>
      <c r="C336" s="19"/>
    </row>
    <row r="337" ht="15.75" customHeight="1">
      <c r="A337" s="19"/>
      <c r="C337" s="19"/>
    </row>
    <row r="338" ht="15.75" customHeight="1">
      <c r="A338" s="19"/>
      <c r="C338" s="19"/>
    </row>
    <row r="339" ht="15.75" customHeight="1">
      <c r="A339" s="19"/>
      <c r="C339" s="19"/>
    </row>
    <row r="340" ht="15.75" customHeight="1">
      <c r="A340" s="19"/>
      <c r="C340" s="19"/>
    </row>
    <row r="341" ht="15.75" customHeight="1">
      <c r="A341" s="19"/>
      <c r="C341" s="19"/>
    </row>
    <row r="342" ht="15.75" customHeight="1">
      <c r="A342" s="19"/>
      <c r="C342" s="19"/>
    </row>
    <row r="343" ht="15.75" customHeight="1">
      <c r="A343" s="19"/>
      <c r="C343" s="19"/>
    </row>
    <row r="344" ht="15.75" customHeight="1">
      <c r="A344" s="19"/>
      <c r="C344" s="19"/>
    </row>
    <row r="345" ht="15.75" customHeight="1">
      <c r="A345" s="19"/>
      <c r="C345" s="19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6:A27"/>
    <mergeCell ref="B26:B2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7.25"/>
    <col customWidth="1" min="2" max="2" width="34.63"/>
  </cols>
  <sheetData>
    <row r="1" ht="29.25" customHeight="1">
      <c r="A1" s="207" t="s">
        <v>1016</v>
      </c>
      <c r="B1" s="207" t="s">
        <v>1017</v>
      </c>
      <c r="C1" s="208" t="s">
        <v>1018</v>
      </c>
      <c r="D1" s="208" t="s">
        <v>1019</v>
      </c>
    </row>
    <row r="2" ht="30.75" customHeight="1">
      <c r="A2" s="209" t="s">
        <v>1020</v>
      </c>
      <c r="B2" s="210" t="s">
        <v>1021</v>
      </c>
      <c r="C2" s="211">
        <v>80000.0</v>
      </c>
      <c r="D2" s="211">
        <v>80000.0</v>
      </c>
    </row>
    <row r="3" ht="33.0" customHeight="1">
      <c r="A3" s="212"/>
      <c r="B3" s="213" t="s">
        <v>1022</v>
      </c>
      <c r="C3" s="214">
        <v>300000.0</v>
      </c>
      <c r="D3" s="215"/>
    </row>
    <row r="4" ht="21.75" customHeight="1">
      <c r="A4" s="212"/>
      <c r="B4" s="213" t="s">
        <v>1023</v>
      </c>
      <c r="C4" s="214">
        <v>240000.0</v>
      </c>
      <c r="D4" s="214">
        <v>60000.0</v>
      </c>
    </row>
    <row r="5" ht="22.5" customHeight="1">
      <c r="A5" s="212"/>
      <c r="B5" s="213" t="s">
        <v>1024</v>
      </c>
      <c r="C5" s="214"/>
      <c r="D5" s="214"/>
    </row>
    <row r="6" ht="22.5" customHeight="1">
      <c r="A6" s="212"/>
      <c r="B6" s="213" t="s">
        <v>1025</v>
      </c>
      <c r="C6" s="214"/>
      <c r="D6" s="214"/>
    </row>
    <row r="7" ht="22.5" customHeight="1">
      <c r="A7" s="216"/>
      <c r="B7" s="213" t="s">
        <v>1026</v>
      </c>
      <c r="C7" s="214"/>
      <c r="D7" s="214"/>
    </row>
    <row r="8" ht="21.75" customHeight="1">
      <c r="A8" s="217" t="s">
        <v>1027</v>
      </c>
      <c r="B8" s="218"/>
      <c r="C8" s="219">
        <f t="shared" ref="C8:D8" si="1">SUM(C2:C6)</f>
        <v>620000</v>
      </c>
      <c r="D8" s="219">
        <f t="shared" si="1"/>
        <v>140000</v>
      </c>
    </row>
    <row r="9">
      <c r="A9" s="220"/>
      <c r="B9" s="221"/>
      <c r="C9" s="222"/>
      <c r="D9" s="222"/>
    </row>
    <row r="10" ht="32.25" customHeight="1">
      <c r="A10" s="209" t="s">
        <v>1028</v>
      </c>
      <c r="B10" s="223" t="s">
        <v>1021</v>
      </c>
      <c r="C10" s="224">
        <v>150000.0</v>
      </c>
      <c r="D10" s="224">
        <v>150000.0</v>
      </c>
    </row>
    <row r="11" ht="54.0" customHeight="1">
      <c r="A11" s="212"/>
      <c r="B11" s="225" t="s">
        <v>1029</v>
      </c>
      <c r="C11" s="226">
        <v>90000.0</v>
      </c>
      <c r="D11" s="226">
        <v>75000.0</v>
      </c>
    </row>
    <row r="12" ht="36.0" customHeight="1">
      <c r="A12" s="212"/>
      <c r="B12" s="225" t="s">
        <v>1030</v>
      </c>
      <c r="C12" s="227"/>
      <c r="D12" s="227"/>
    </row>
    <row r="13" ht="25.5" customHeight="1">
      <c r="A13" s="216"/>
      <c r="B13" s="228" t="s">
        <v>1031</v>
      </c>
      <c r="C13" s="226">
        <v>20000.0</v>
      </c>
      <c r="D13" s="227"/>
    </row>
    <row r="14" ht="24.0" customHeight="1">
      <c r="A14" s="217" t="s">
        <v>1027</v>
      </c>
      <c r="B14" s="229"/>
      <c r="C14" s="219">
        <f t="shared" ref="C14:D14" si="2">SUM(C10:C13)</f>
        <v>260000</v>
      </c>
      <c r="D14" s="219">
        <f t="shared" si="2"/>
        <v>225000</v>
      </c>
    </row>
    <row r="15">
      <c r="A15" s="220"/>
      <c r="B15" s="230"/>
      <c r="C15" s="222"/>
      <c r="D15" s="222"/>
    </row>
    <row r="16" ht="53.25" customHeight="1">
      <c r="A16" s="209" t="s">
        <v>1032</v>
      </c>
      <c r="B16" s="231" t="s">
        <v>1021</v>
      </c>
      <c r="C16" s="232">
        <v>80000.0</v>
      </c>
      <c r="D16" s="232">
        <v>80000.0</v>
      </c>
    </row>
    <row r="17" ht="53.25" customHeight="1">
      <c r="A17" s="216"/>
      <c r="B17" s="233" t="s">
        <v>1033</v>
      </c>
      <c r="C17" s="234"/>
      <c r="D17" s="234"/>
    </row>
    <row r="18">
      <c r="A18" s="217" t="s">
        <v>1027</v>
      </c>
      <c r="B18" s="229"/>
      <c r="C18" s="219">
        <f t="shared" ref="C18:D18" si="3">SUM(C16:C17)</f>
        <v>80000</v>
      </c>
      <c r="D18" s="219">
        <f t="shared" si="3"/>
        <v>80000</v>
      </c>
    </row>
    <row r="19">
      <c r="A19" s="220"/>
      <c r="B19" s="230"/>
      <c r="C19" s="222"/>
      <c r="D19" s="222"/>
    </row>
    <row r="20" ht="31.5" customHeight="1">
      <c r="A20" s="209" t="s">
        <v>1034</v>
      </c>
      <c r="B20" s="235" t="s">
        <v>1021</v>
      </c>
      <c r="C20" s="236">
        <v>1180.0</v>
      </c>
      <c r="D20" s="237">
        <v>50400.0</v>
      </c>
    </row>
    <row r="21" ht="34.5" customHeight="1">
      <c r="A21" s="216"/>
      <c r="B21" s="238" t="s">
        <v>1035</v>
      </c>
      <c r="C21" s="239"/>
      <c r="D21" s="240"/>
    </row>
    <row r="22" ht="22.5" customHeight="1">
      <c r="A22" s="217" t="s">
        <v>1027</v>
      </c>
      <c r="B22" s="241"/>
      <c r="C22" s="219">
        <f t="shared" ref="C22:D22" si="4">SUM(C20:C21)</f>
        <v>1180</v>
      </c>
      <c r="D22" s="219">
        <f t="shared" si="4"/>
        <v>50400</v>
      </c>
    </row>
    <row r="23">
      <c r="A23" s="242"/>
      <c r="B23" s="243"/>
      <c r="C23" s="222"/>
      <c r="D23" s="222"/>
    </row>
    <row r="24" ht="21.75" customHeight="1">
      <c r="A24" s="209" t="s">
        <v>1036</v>
      </c>
      <c r="B24" s="244" t="s">
        <v>1037</v>
      </c>
      <c r="C24" s="245">
        <v>13058.0</v>
      </c>
      <c r="D24" s="245">
        <v>400.0</v>
      </c>
    </row>
    <row r="25" ht="21.75" customHeight="1">
      <c r="A25" s="212"/>
      <c r="B25" s="244" t="s">
        <v>1038</v>
      </c>
      <c r="C25" s="245">
        <v>1800.0</v>
      </c>
      <c r="D25" s="245">
        <v>1800.0</v>
      </c>
    </row>
    <row r="26" ht="21.0" customHeight="1">
      <c r="A26" s="212"/>
      <c r="B26" s="244" t="s">
        <v>1039</v>
      </c>
      <c r="C26" s="246">
        <v>900.0</v>
      </c>
      <c r="D26" s="246">
        <v>900.0</v>
      </c>
    </row>
    <row r="27" ht="21.75" customHeight="1">
      <c r="A27" s="212"/>
      <c r="B27" s="244" t="s">
        <v>1040</v>
      </c>
      <c r="C27" s="245">
        <v>3300.0</v>
      </c>
      <c r="D27" s="245">
        <v>3300.0</v>
      </c>
    </row>
    <row r="28" ht="21.75" customHeight="1">
      <c r="A28" s="212"/>
      <c r="B28" s="247" t="s">
        <v>1041</v>
      </c>
      <c r="C28" s="248"/>
      <c r="D28" s="248"/>
    </row>
    <row r="29" ht="24.75" customHeight="1">
      <c r="A29" s="212"/>
      <c r="B29" s="247" t="s">
        <v>1042</v>
      </c>
      <c r="C29" s="249"/>
      <c r="D29" s="249"/>
    </row>
    <row r="30" ht="24.75" customHeight="1">
      <c r="A30" s="212"/>
      <c r="B30" s="250" t="s">
        <v>1043</v>
      </c>
      <c r="C30" s="245">
        <v>3000.0</v>
      </c>
      <c r="D30" s="245">
        <v>3000.0</v>
      </c>
    </row>
    <row r="31" ht="24.75" customHeight="1">
      <c r="A31" s="212"/>
      <c r="B31" s="251" t="s">
        <v>1044</v>
      </c>
      <c r="C31" s="249"/>
      <c r="D31" s="249"/>
    </row>
    <row r="32" ht="24.75" customHeight="1">
      <c r="A32" s="216"/>
      <c r="B32" s="251" t="s">
        <v>1045</v>
      </c>
      <c r="C32" s="249"/>
      <c r="D32" s="249"/>
    </row>
    <row r="33" ht="18.0" customHeight="1">
      <c r="A33" s="217" t="s">
        <v>1027</v>
      </c>
      <c r="B33" s="252"/>
      <c r="C33" s="253">
        <f t="shared" ref="C33:D33" si="5">SUM(C24:C32)</f>
        <v>22058</v>
      </c>
      <c r="D33" s="253">
        <f t="shared" si="5"/>
        <v>9400</v>
      </c>
    </row>
    <row r="34" ht="15.75" customHeight="1">
      <c r="A34" s="254"/>
      <c r="B34" s="255"/>
      <c r="C34" s="256"/>
      <c r="D34" s="256"/>
    </row>
    <row r="35" ht="15.75" customHeight="1">
      <c r="A35" s="254"/>
      <c r="B35" s="255"/>
      <c r="C35" s="256"/>
      <c r="D35" s="256"/>
    </row>
    <row r="36" ht="15.75" customHeight="1">
      <c r="A36" s="257"/>
      <c r="B36" s="258"/>
      <c r="C36" s="259" t="s">
        <v>1018</v>
      </c>
      <c r="D36" s="259" t="s">
        <v>1019</v>
      </c>
    </row>
    <row r="37" ht="34.5" customHeight="1">
      <c r="A37" s="207" t="s">
        <v>1046</v>
      </c>
      <c r="B37" s="260"/>
      <c r="C37" s="261">
        <f t="shared" ref="C37:D37" si="6">SUM(C3:C7,C11,C12,C13,C20:C21)</f>
        <v>651180</v>
      </c>
      <c r="D37" s="261">
        <f t="shared" si="6"/>
        <v>185400</v>
      </c>
    </row>
    <row r="38" ht="34.5" customHeight="1">
      <c r="A38" s="262" t="s">
        <v>1047</v>
      </c>
      <c r="B38" s="263"/>
      <c r="C38" s="264">
        <f t="shared" ref="C38:D38" si="7">C18</f>
        <v>80000</v>
      </c>
      <c r="D38" s="264">
        <f t="shared" si="7"/>
        <v>80000</v>
      </c>
    </row>
    <row r="39" ht="34.5" customHeight="1">
      <c r="A39" s="262" t="s">
        <v>1048</v>
      </c>
      <c r="B39" s="263"/>
      <c r="C39" s="264">
        <f t="shared" ref="C39:D39" si="8">SUM(C2,C10,C20)</f>
        <v>231180</v>
      </c>
      <c r="D39" s="264">
        <f t="shared" si="8"/>
        <v>280400</v>
      </c>
    </row>
    <row r="40" ht="34.5" customHeight="1">
      <c r="A40" s="207" t="s">
        <v>1049</v>
      </c>
      <c r="B40" s="260"/>
      <c r="C40" s="261">
        <f t="shared" ref="C40:D40" si="9">SUM(C37:C39)</f>
        <v>962360</v>
      </c>
      <c r="D40" s="261">
        <f t="shared" si="9"/>
        <v>545800</v>
      </c>
    </row>
    <row r="41" ht="34.5" customHeight="1">
      <c r="A41" s="207" t="s">
        <v>1036</v>
      </c>
      <c r="B41" s="260"/>
      <c r="C41" s="261">
        <f t="shared" ref="C41:D41" si="10">C33</f>
        <v>22058</v>
      </c>
      <c r="D41" s="261">
        <f t="shared" si="10"/>
        <v>9400</v>
      </c>
    </row>
    <row r="42" ht="33.75" customHeight="1">
      <c r="A42" s="254" t="s">
        <v>1050</v>
      </c>
      <c r="B42" s="265"/>
      <c r="C42" s="266">
        <v>2472.0</v>
      </c>
      <c r="D42" s="266">
        <v>374.0</v>
      </c>
    </row>
    <row r="43" ht="33.75" customHeight="1">
      <c r="A43" s="254" t="s">
        <v>1051</v>
      </c>
      <c r="B43" s="265"/>
      <c r="C43" s="267">
        <f t="shared" ref="C43:D43" si="11">C3/C42</f>
        <v>121.3592233</v>
      </c>
      <c r="D43" s="267">
        <f t="shared" si="11"/>
        <v>0</v>
      </c>
    </row>
    <row r="44" ht="33.75" customHeight="1">
      <c r="A44" s="254" t="s">
        <v>1052</v>
      </c>
      <c r="B44" s="265"/>
      <c r="C44" s="266">
        <v>3599.0</v>
      </c>
      <c r="D44" s="266">
        <v>4120.0</v>
      </c>
    </row>
    <row r="45" ht="33.75" customHeight="1">
      <c r="A45" s="254" t="s">
        <v>1053</v>
      </c>
      <c r="B45" s="265"/>
      <c r="C45" s="267">
        <f t="shared" ref="C45:D45" si="12">C4/C44</f>
        <v>66.68519033</v>
      </c>
      <c r="D45" s="267">
        <f t="shared" si="12"/>
        <v>14.5631068</v>
      </c>
    </row>
    <row r="46" ht="33.75" customHeight="1">
      <c r="A46" s="254" t="s">
        <v>1054</v>
      </c>
      <c r="B46" s="265"/>
      <c r="C46" s="266"/>
      <c r="D46" s="266"/>
    </row>
    <row r="47" ht="33.75" customHeight="1">
      <c r="A47" s="254" t="s">
        <v>1055</v>
      </c>
      <c r="B47" s="265"/>
      <c r="C47" s="267"/>
      <c r="D47" s="267"/>
    </row>
    <row r="48" ht="26.25" customHeight="1">
      <c r="A48" s="268" t="s">
        <v>1056</v>
      </c>
      <c r="B48" s="269"/>
      <c r="C48" s="270"/>
      <c r="D48" s="270"/>
    </row>
    <row r="49" ht="33.75" customHeight="1">
      <c r="A49" s="254" t="s">
        <v>1057</v>
      </c>
      <c r="B49" s="265"/>
      <c r="C49" s="266">
        <v>9085.0</v>
      </c>
      <c r="D49" s="266">
        <v>629.0</v>
      </c>
    </row>
    <row r="50" ht="33.75" customHeight="1">
      <c r="A50" s="271" t="s">
        <v>1058</v>
      </c>
      <c r="B50" s="272"/>
      <c r="C50" s="271">
        <f t="shared" ref="C50:D50" si="13">C11/C49</f>
        <v>9.906439185</v>
      </c>
      <c r="D50" s="271">
        <f t="shared" si="13"/>
        <v>119.2368839</v>
      </c>
    </row>
    <row r="51" ht="33.75" customHeight="1">
      <c r="A51" s="271" t="s">
        <v>1059</v>
      </c>
      <c r="B51" s="272"/>
      <c r="C51" s="271">
        <f t="shared" ref="C51:D51" si="14">SUM(C10:C11)/C49</f>
        <v>26.41717116</v>
      </c>
      <c r="D51" s="271">
        <f t="shared" si="14"/>
        <v>357.7106518</v>
      </c>
    </row>
    <row r="52" ht="30.0" customHeight="1">
      <c r="A52" s="254" t="s">
        <v>1060</v>
      </c>
      <c r="B52" s="265"/>
      <c r="C52" s="266">
        <v>525.0</v>
      </c>
      <c r="D52" s="266">
        <v>901.0</v>
      </c>
    </row>
    <row r="53" ht="42.0" customHeight="1">
      <c r="A53" s="271" t="s">
        <v>1061</v>
      </c>
      <c r="B53" s="272"/>
      <c r="C53" s="271">
        <f t="shared" ref="C53:D53" si="15">C11/C52</f>
        <v>171.4285714</v>
      </c>
      <c r="D53" s="271">
        <f t="shared" si="15"/>
        <v>83.24084351</v>
      </c>
    </row>
    <row r="54" ht="42.0" customHeight="1">
      <c r="A54" s="271" t="s">
        <v>1062</v>
      </c>
      <c r="B54" s="265"/>
      <c r="C54" s="271">
        <f t="shared" ref="C54:D54" si="16">SUM(C10:C11)/C52</f>
        <v>457.1428571</v>
      </c>
      <c r="D54" s="271">
        <f t="shared" si="16"/>
        <v>249.7225305</v>
      </c>
    </row>
    <row r="55" ht="38.25" customHeight="1">
      <c r="A55" s="254" t="s">
        <v>1063</v>
      </c>
      <c r="B55" s="273"/>
      <c r="C55" s="274">
        <v>12.0</v>
      </c>
      <c r="D55" s="266">
        <v>32.0</v>
      </c>
    </row>
    <row r="56" ht="39.0" customHeight="1">
      <c r="A56" s="271" t="s">
        <v>1064</v>
      </c>
      <c r="B56" s="273"/>
      <c r="C56" s="275">
        <f t="shared" ref="C56:D56" si="17">C11/C55</f>
        <v>7500</v>
      </c>
      <c r="D56" s="275">
        <f t="shared" si="17"/>
        <v>2343.75</v>
      </c>
    </row>
    <row r="57" ht="60.0" customHeight="1">
      <c r="A57" s="271" t="s">
        <v>1065</v>
      </c>
      <c r="B57" s="273"/>
      <c r="C57" s="275">
        <f t="shared" ref="C57:D57" si="18">SUM(C10:C11)/C55</f>
        <v>20000</v>
      </c>
      <c r="D57" s="275">
        <f t="shared" si="18"/>
        <v>7031.25</v>
      </c>
    </row>
    <row r="58">
      <c r="A58" s="276"/>
      <c r="B58" s="277"/>
      <c r="C58" s="277"/>
      <c r="D58" s="277"/>
    </row>
    <row r="59">
      <c r="A59" s="276"/>
      <c r="B59" s="277"/>
      <c r="C59" s="277"/>
      <c r="D59" s="276"/>
    </row>
    <row r="60">
      <c r="A60" s="277"/>
      <c r="B60" s="277"/>
      <c r="C60" s="277"/>
      <c r="D60" s="278"/>
    </row>
    <row r="61">
      <c r="A61" s="277"/>
      <c r="B61" s="277"/>
      <c r="C61" s="277"/>
      <c r="D61" s="278"/>
    </row>
    <row r="62">
      <c r="A62" s="277"/>
      <c r="B62" s="277"/>
      <c r="C62" s="277"/>
      <c r="D62" s="277"/>
    </row>
    <row r="63">
      <c r="A63" s="277"/>
      <c r="B63" s="277"/>
      <c r="C63" s="277"/>
      <c r="D63" s="277"/>
    </row>
    <row r="64">
      <c r="A64" s="277"/>
      <c r="B64" s="277"/>
      <c r="C64" s="277"/>
      <c r="D64" s="277"/>
    </row>
    <row r="65">
      <c r="A65" s="277"/>
      <c r="B65" s="277"/>
      <c r="C65" s="277"/>
      <c r="D65" s="277"/>
    </row>
    <row r="66">
      <c r="A66" s="277"/>
      <c r="B66" s="277"/>
      <c r="C66" s="277"/>
      <c r="D66" s="277"/>
    </row>
    <row r="67">
      <c r="A67" s="277"/>
      <c r="B67" s="277"/>
      <c r="C67" s="277"/>
      <c r="D67" s="277"/>
    </row>
    <row r="68">
      <c r="A68" s="277"/>
      <c r="B68" s="277"/>
      <c r="C68" s="277"/>
      <c r="D68" s="277"/>
    </row>
    <row r="69">
      <c r="A69" s="277"/>
      <c r="B69" s="277"/>
      <c r="C69" s="277"/>
      <c r="D69" s="277"/>
    </row>
    <row r="70">
      <c r="A70" s="277"/>
      <c r="B70" s="277"/>
      <c r="C70" s="277"/>
      <c r="D70" s="277"/>
    </row>
    <row r="71">
      <c r="A71" s="277"/>
      <c r="B71" s="277"/>
      <c r="C71" s="277"/>
      <c r="D71" s="277"/>
    </row>
    <row r="72">
      <c r="A72" s="277"/>
      <c r="B72" s="277"/>
      <c r="C72" s="277"/>
      <c r="D72" s="277"/>
    </row>
    <row r="73">
      <c r="A73" s="277"/>
      <c r="B73" s="277"/>
      <c r="C73" s="277"/>
      <c r="D73" s="277"/>
    </row>
    <row r="74">
      <c r="A74" s="277"/>
      <c r="B74" s="277"/>
      <c r="C74" s="277"/>
      <c r="D74" s="277"/>
    </row>
    <row r="75">
      <c r="A75" s="277"/>
      <c r="B75" s="277"/>
      <c r="C75" s="277"/>
      <c r="D75" s="277"/>
    </row>
    <row r="76">
      <c r="A76" s="277"/>
      <c r="B76" s="277"/>
      <c r="C76" s="277"/>
      <c r="D76" s="277"/>
    </row>
    <row r="77">
      <c r="A77" s="277"/>
      <c r="B77" s="277"/>
      <c r="C77" s="277"/>
      <c r="D77" s="277"/>
    </row>
    <row r="78">
      <c r="A78" s="277"/>
      <c r="B78" s="277"/>
      <c r="C78" s="277"/>
      <c r="D78" s="277"/>
    </row>
    <row r="79">
      <c r="A79" s="277"/>
      <c r="B79" s="277"/>
      <c r="C79" s="277"/>
      <c r="D79" s="277"/>
    </row>
    <row r="80">
      <c r="A80" s="277"/>
      <c r="B80" s="277"/>
      <c r="C80" s="277"/>
      <c r="D80" s="277"/>
    </row>
    <row r="81">
      <c r="A81" s="277"/>
      <c r="B81" s="277"/>
      <c r="C81" s="277"/>
      <c r="D81" s="277"/>
    </row>
    <row r="82">
      <c r="A82" s="277"/>
      <c r="B82" s="277"/>
      <c r="C82" s="277"/>
      <c r="D82" s="277"/>
    </row>
    <row r="83">
      <c r="A83" s="277"/>
      <c r="B83" s="277"/>
      <c r="C83" s="277"/>
      <c r="D83" s="277"/>
    </row>
    <row r="84">
      <c r="A84" s="277"/>
      <c r="B84" s="277"/>
      <c r="C84" s="277"/>
      <c r="D84" s="277"/>
    </row>
    <row r="85">
      <c r="A85" s="277"/>
      <c r="B85" s="277"/>
      <c r="C85" s="277"/>
      <c r="D85" s="277"/>
    </row>
    <row r="86">
      <c r="A86" s="277"/>
      <c r="B86" s="277"/>
      <c r="C86" s="277"/>
      <c r="D86" s="277"/>
    </row>
    <row r="87">
      <c r="A87" s="277"/>
      <c r="B87" s="277"/>
      <c r="C87" s="277"/>
      <c r="D87" s="277"/>
    </row>
    <row r="88">
      <c r="A88" s="277"/>
      <c r="B88" s="277"/>
      <c r="C88" s="277"/>
      <c r="D88" s="277"/>
    </row>
    <row r="89">
      <c r="A89" s="277"/>
      <c r="B89" s="277"/>
      <c r="C89" s="277"/>
      <c r="D89" s="277"/>
    </row>
    <row r="90">
      <c r="A90" s="277"/>
      <c r="B90" s="277"/>
      <c r="C90" s="277"/>
      <c r="D90" s="277"/>
    </row>
    <row r="91">
      <c r="A91" s="277"/>
      <c r="B91" s="277"/>
      <c r="C91" s="277"/>
      <c r="D91" s="277"/>
    </row>
    <row r="92">
      <c r="A92" s="277"/>
      <c r="B92" s="277"/>
      <c r="C92" s="277"/>
      <c r="D92" s="277"/>
    </row>
    <row r="93">
      <c r="A93" s="277"/>
      <c r="B93" s="277"/>
      <c r="C93" s="277"/>
      <c r="D93" s="277"/>
    </row>
    <row r="94">
      <c r="A94" s="277"/>
      <c r="B94" s="277"/>
      <c r="C94" s="277"/>
      <c r="D94" s="277"/>
    </row>
    <row r="95">
      <c r="A95" s="277"/>
      <c r="B95" s="277"/>
      <c r="C95" s="277"/>
      <c r="D95" s="277"/>
    </row>
    <row r="96">
      <c r="A96" s="277"/>
      <c r="B96" s="277"/>
      <c r="C96" s="277"/>
      <c r="D96" s="277"/>
    </row>
    <row r="97">
      <c r="A97" s="277"/>
      <c r="B97" s="277"/>
      <c r="C97" s="277"/>
      <c r="D97" s="277"/>
    </row>
    <row r="98">
      <c r="A98" s="277"/>
      <c r="B98" s="277"/>
      <c r="C98" s="277"/>
      <c r="D98" s="277"/>
    </row>
    <row r="99">
      <c r="A99" s="277"/>
      <c r="B99" s="277"/>
      <c r="C99" s="277"/>
      <c r="D99" s="277"/>
    </row>
    <row r="100">
      <c r="A100" s="277"/>
      <c r="B100" s="277"/>
      <c r="C100" s="277"/>
      <c r="D100" s="277"/>
    </row>
    <row r="101">
      <c r="A101" s="277"/>
      <c r="B101" s="277"/>
      <c r="C101" s="277"/>
      <c r="D101" s="277"/>
    </row>
    <row r="102">
      <c r="A102" s="277"/>
      <c r="B102" s="277"/>
      <c r="C102" s="277"/>
      <c r="D102" s="277"/>
    </row>
    <row r="103">
      <c r="A103" s="277"/>
      <c r="B103" s="277"/>
      <c r="C103" s="277"/>
      <c r="D103" s="277"/>
    </row>
    <row r="104">
      <c r="A104" s="277"/>
      <c r="B104" s="277"/>
      <c r="C104" s="277"/>
      <c r="D104" s="277"/>
    </row>
    <row r="105">
      <c r="A105" s="277"/>
      <c r="B105" s="277"/>
      <c r="C105" s="277"/>
      <c r="D105" s="277"/>
    </row>
    <row r="106">
      <c r="A106" s="277"/>
      <c r="B106" s="277"/>
      <c r="C106" s="277"/>
      <c r="D106" s="277"/>
    </row>
    <row r="107">
      <c r="A107" s="277"/>
      <c r="B107" s="277"/>
      <c r="C107" s="277"/>
      <c r="D107" s="277"/>
    </row>
    <row r="108">
      <c r="A108" s="277"/>
      <c r="B108" s="277"/>
      <c r="C108" s="277"/>
      <c r="D108" s="277"/>
    </row>
    <row r="109">
      <c r="A109" s="277"/>
      <c r="B109" s="277"/>
      <c r="C109" s="277"/>
      <c r="D109" s="277"/>
    </row>
    <row r="110">
      <c r="A110" s="277"/>
      <c r="B110" s="277"/>
      <c r="C110" s="277"/>
      <c r="D110" s="277"/>
    </row>
    <row r="111">
      <c r="A111" s="277"/>
      <c r="B111" s="277"/>
      <c r="C111" s="277"/>
      <c r="D111" s="277"/>
    </row>
    <row r="112">
      <c r="A112" s="277"/>
      <c r="B112" s="277"/>
      <c r="C112" s="277"/>
      <c r="D112" s="277"/>
    </row>
    <row r="113">
      <c r="A113" s="277"/>
      <c r="B113" s="277"/>
      <c r="C113" s="277"/>
      <c r="D113" s="277"/>
    </row>
    <row r="114">
      <c r="A114" s="277"/>
      <c r="B114" s="277"/>
      <c r="C114" s="277"/>
      <c r="D114" s="277"/>
    </row>
    <row r="115">
      <c r="A115" s="277"/>
      <c r="B115" s="277"/>
      <c r="C115" s="277"/>
      <c r="D115" s="277"/>
    </row>
    <row r="116">
      <c r="A116" s="277"/>
      <c r="B116" s="277"/>
      <c r="C116" s="277"/>
      <c r="D116" s="277"/>
    </row>
    <row r="117">
      <c r="A117" s="277"/>
      <c r="B117" s="277"/>
      <c r="C117" s="277"/>
      <c r="D117" s="277"/>
    </row>
    <row r="118">
      <c r="A118" s="277"/>
      <c r="B118" s="277"/>
      <c r="C118" s="277"/>
      <c r="D118" s="277"/>
    </row>
    <row r="119">
      <c r="A119" s="277"/>
      <c r="B119" s="277"/>
      <c r="C119" s="277"/>
      <c r="D119" s="277"/>
    </row>
    <row r="120">
      <c r="A120" s="277"/>
      <c r="B120" s="277"/>
      <c r="C120" s="277"/>
      <c r="D120" s="277"/>
    </row>
    <row r="121">
      <c r="A121" s="277"/>
      <c r="B121" s="277"/>
      <c r="C121" s="277"/>
      <c r="D121" s="277"/>
    </row>
    <row r="122">
      <c r="A122" s="277"/>
      <c r="B122" s="277"/>
      <c r="C122" s="277"/>
      <c r="D122" s="277"/>
    </row>
    <row r="123">
      <c r="A123" s="277"/>
      <c r="B123" s="277"/>
      <c r="C123" s="277"/>
      <c r="D123" s="277"/>
    </row>
    <row r="124">
      <c r="A124" s="277"/>
      <c r="B124" s="277"/>
      <c r="C124" s="277"/>
      <c r="D124" s="277"/>
    </row>
    <row r="125">
      <c r="A125" s="277"/>
      <c r="B125" s="277"/>
      <c r="C125" s="277"/>
      <c r="D125" s="277"/>
    </row>
    <row r="126">
      <c r="A126" s="277"/>
      <c r="B126" s="277"/>
      <c r="C126" s="277"/>
      <c r="D126" s="277"/>
    </row>
    <row r="127">
      <c r="A127" s="277"/>
      <c r="B127" s="277"/>
      <c r="C127" s="277"/>
      <c r="D127" s="277"/>
    </row>
    <row r="128">
      <c r="A128" s="277"/>
      <c r="B128" s="277"/>
      <c r="C128" s="277"/>
      <c r="D128" s="277"/>
    </row>
    <row r="129">
      <c r="A129" s="277"/>
      <c r="B129" s="277"/>
      <c r="C129" s="277"/>
      <c r="D129" s="277"/>
    </row>
    <row r="130">
      <c r="A130" s="277"/>
      <c r="B130" s="277"/>
      <c r="C130" s="277"/>
      <c r="D130" s="277"/>
    </row>
    <row r="131">
      <c r="A131" s="277"/>
      <c r="B131" s="277"/>
      <c r="C131" s="277"/>
      <c r="D131" s="277"/>
    </row>
    <row r="132">
      <c r="A132" s="277"/>
      <c r="B132" s="277"/>
      <c r="C132" s="277"/>
      <c r="D132" s="277"/>
    </row>
    <row r="133">
      <c r="A133" s="277"/>
      <c r="B133" s="277"/>
      <c r="C133" s="277"/>
      <c r="D133" s="277"/>
    </row>
    <row r="134">
      <c r="A134" s="277"/>
      <c r="B134" s="277"/>
      <c r="C134" s="277"/>
      <c r="D134" s="277"/>
    </row>
    <row r="135">
      <c r="A135" s="277"/>
      <c r="B135" s="277"/>
      <c r="C135" s="277"/>
      <c r="D135" s="277"/>
    </row>
    <row r="136">
      <c r="A136" s="277"/>
      <c r="B136" s="277"/>
      <c r="C136" s="277"/>
      <c r="D136" s="277"/>
    </row>
    <row r="137">
      <c r="A137" s="277"/>
      <c r="B137" s="277"/>
      <c r="C137" s="277"/>
      <c r="D137" s="277"/>
    </row>
    <row r="138">
      <c r="A138" s="277"/>
      <c r="B138" s="277"/>
      <c r="C138" s="277"/>
      <c r="D138" s="277"/>
    </row>
    <row r="139">
      <c r="A139" s="277"/>
      <c r="B139" s="277"/>
      <c r="C139" s="277"/>
      <c r="D139" s="277"/>
    </row>
    <row r="140">
      <c r="A140" s="277"/>
      <c r="B140" s="277"/>
      <c r="C140" s="277"/>
      <c r="D140" s="277"/>
    </row>
    <row r="141">
      <c r="A141" s="277"/>
      <c r="B141" s="277"/>
      <c r="C141" s="277"/>
      <c r="D141" s="277"/>
    </row>
    <row r="142">
      <c r="A142" s="277"/>
      <c r="B142" s="277"/>
      <c r="C142" s="277"/>
      <c r="D142" s="277"/>
    </row>
    <row r="143">
      <c r="A143" s="277"/>
      <c r="B143" s="277"/>
      <c r="C143" s="277"/>
      <c r="D143" s="277"/>
    </row>
    <row r="144">
      <c r="A144" s="277"/>
      <c r="B144" s="277"/>
      <c r="C144" s="277"/>
      <c r="D144" s="277"/>
    </row>
    <row r="145">
      <c r="A145" s="277"/>
      <c r="B145" s="277"/>
      <c r="C145" s="277"/>
      <c r="D145" s="277"/>
    </row>
    <row r="146">
      <c r="A146" s="277"/>
      <c r="B146" s="277"/>
      <c r="C146" s="277"/>
      <c r="D146" s="277"/>
    </row>
    <row r="147">
      <c r="A147" s="277"/>
      <c r="B147" s="277"/>
      <c r="C147" s="277"/>
      <c r="D147" s="277"/>
    </row>
    <row r="148">
      <c r="A148" s="277"/>
      <c r="B148" s="277"/>
      <c r="C148" s="277"/>
      <c r="D148" s="277"/>
    </row>
    <row r="149">
      <c r="A149" s="277"/>
      <c r="B149" s="277"/>
      <c r="C149" s="277"/>
      <c r="D149" s="277"/>
    </row>
    <row r="150">
      <c r="A150" s="277"/>
      <c r="B150" s="277"/>
      <c r="C150" s="277"/>
      <c r="D150" s="277"/>
    </row>
    <row r="151">
      <c r="A151" s="277"/>
      <c r="B151" s="277"/>
      <c r="C151" s="277"/>
      <c r="D151" s="277"/>
    </row>
    <row r="152">
      <c r="A152" s="277"/>
      <c r="B152" s="277"/>
      <c r="C152" s="277"/>
      <c r="D152" s="277"/>
    </row>
    <row r="153">
      <c r="A153" s="277"/>
      <c r="B153" s="277"/>
      <c r="C153" s="277"/>
      <c r="D153" s="277"/>
    </row>
    <row r="154">
      <c r="A154" s="277"/>
      <c r="B154" s="277"/>
      <c r="C154" s="277"/>
      <c r="D154" s="277"/>
    </row>
    <row r="155">
      <c r="A155" s="277"/>
      <c r="B155" s="277"/>
      <c r="C155" s="277"/>
      <c r="D155" s="277"/>
    </row>
    <row r="156">
      <c r="A156" s="277"/>
      <c r="B156" s="277"/>
      <c r="C156" s="277"/>
      <c r="D156" s="277"/>
    </row>
    <row r="157">
      <c r="A157" s="277"/>
      <c r="B157" s="277"/>
      <c r="C157" s="277"/>
      <c r="D157" s="277"/>
    </row>
    <row r="158">
      <c r="A158" s="277"/>
      <c r="B158" s="277"/>
      <c r="C158" s="277"/>
      <c r="D158" s="277"/>
    </row>
    <row r="159">
      <c r="A159" s="277"/>
      <c r="B159" s="277"/>
      <c r="C159" s="277"/>
      <c r="D159" s="277"/>
    </row>
    <row r="160">
      <c r="A160" s="277"/>
      <c r="B160" s="277"/>
      <c r="C160" s="277"/>
      <c r="D160" s="277"/>
    </row>
    <row r="161">
      <c r="A161" s="277"/>
      <c r="B161" s="277"/>
      <c r="C161" s="277"/>
      <c r="D161" s="277"/>
    </row>
    <row r="162">
      <c r="A162" s="277"/>
      <c r="B162" s="277"/>
      <c r="C162" s="277"/>
      <c r="D162" s="277"/>
    </row>
    <row r="163">
      <c r="A163" s="277"/>
      <c r="B163" s="277"/>
      <c r="C163" s="277"/>
      <c r="D163" s="277"/>
    </row>
    <row r="164">
      <c r="A164" s="277"/>
      <c r="B164" s="277"/>
      <c r="C164" s="277"/>
      <c r="D164" s="277"/>
    </row>
    <row r="165">
      <c r="A165" s="277"/>
      <c r="B165" s="277"/>
      <c r="C165" s="277"/>
      <c r="D165" s="277"/>
    </row>
    <row r="166">
      <c r="A166" s="277"/>
      <c r="B166" s="277"/>
      <c r="C166" s="277"/>
      <c r="D166" s="277"/>
    </row>
    <row r="167">
      <c r="A167" s="277"/>
      <c r="B167" s="277"/>
      <c r="C167" s="277"/>
      <c r="D167" s="277"/>
    </row>
    <row r="168">
      <c r="A168" s="277"/>
      <c r="B168" s="277"/>
      <c r="C168" s="277"/>
      <c r="D168" s="277"/>
    </row>
    <row r="169">
      <c r="A169" s="277"/>
      <c r="B169" s="277"/>
      <c r="C169" s="277"/>
      <c r="D169" s="277"/>
    </row>
    <row r="170">
      <c r="A170" s="277"/>
      <c r="B170" s="277"/>
      <c r="C170" s="277"/>
      <c r="D170" s="277"/>
    </row>
    <row r="171">
      <c r="A171" s="277"/>
      <c r="B171" s="277"/>
      <c r="C171" s="277"/>
      <c r="D171" s="277"/>
    </row>
    <row r="172">
      <c r="A172" s="277"/>
      <c r="B172" s="277"/>
      <c r="C172" s="277"/>
      <c r="D172" s="277"/>
    </row>
    <row r="173">
      <c r="A173" s="277"/>
      <c r="B173" s="277"/>
      <c r="C173" s="277"/>
      <c r="D173" s="277"/>
    </row>
    <row r="174">
      <c r="A174" s="277"/>
      <c r="B174" s="277"/>
      <c r="C174" s="277"/>
      <c r="D174" s="277"/>
    </row>
    <row r="175">
      <c r="A175" s="277"/>
      <c r="B175" s="277"/>
      <c r="C175" s="277"/>
      <c r="D175" s="277"/>
    </row>
    <row r="176">
      <c r="A176" s="277"/>
      <c r="B176" s="277"/>
      <c r="C176" s="277"/>
      <c r="D176" s="277"/>
    </row>
    <row r="177">
      <c r="A177" s="277"/>
      <c r="B177" s="277"/>
      <c r="C177" s="277"/>
      <c r="D177" s="277"/>
    </row>
    <row r="178">
      <c r="A178" s="277"/>
      <c r="B178" s="277"/>
      <c r="C178" s="277"/>
      <c r="D178" s="277"/>
    </row>
    <row r="179">
      <c r="A179" s="277"/>
      <c r="B179" s="277"/>
      <c r="C179" s="277"/>
      <c r="D179" s="277"/>
    </row>
    <row r="180">
      <c r="A180" s="277"/>
      <c r="B180" s="277"/>
      <c r="C180" s="277"/>
      <c r="D180" s="277"/>
    </row>
    <row r="181">
      <c r="A181" s="277"/>
      <c r="B181" s="277"/>
      <c r="C181" s="277"/>
      <c r="D181" s="277"/>
    </row>
    <row r="182">
      <c r="A182" s="277"/>
      <c r="B182" s="277"/>
      <c r="C182" s="277"/>
      <c r="D182" s="277"/>
    </row>
    <row r="183">
      <c r="A183" s="277"/>
      <c r="B183" s="277"/>
      <c r="C183" s="277"/>
      <c r="D183" s="277"/>
    </row>
    <row r="184">
      <c r="A184" s="277"/>
      <c r="B184" s="277"/>
      <c r="C184" s="277"/>
      <c r="D184" s="277"/>
    </row>
    <row r="185">
      <c r="A185" s="277"/>
      <c r="B185" s="277"/>
      <c r="C185" s="277"/>
      <c r="D185" s="277"/>
    </row>
    <row r="186">
      <c r="A186" s="277"/>
      <c r="B186" s="277"/>
      <c r="C186" s="277"/>
      <c r="D186" s="277"/>
    </row>
    <row r="187">
      <c r="A187" s="277"/>
      <c r="B187" s="277"/>
      <c r="C187" s="277"/>
      <c r="D187" s="277"/>
    </row>
    <row r="188">
      <c r="A188" s="277"/>
      <c r="B188" s="277"/>
      <c r="C188" s="277"/>
      <c r="D188" s="277"/>
    </row>
    <row r="189">
      <c r="A189" s="277"/>
      <c r="B189" s="277"/>
      <c r="C189" s="277"/>
      <c r="D189" s="277"/>
    </row>
    <row r="190">
      <c r="A190" s="277"/>
      <c r="B190" s="277"/>
      <c r="C190" s="277"/>
      <c r="D190" s="277"/>
    </row>
    <row r="191">
      <c r="A191" s="277"/>
      <c r="B191" s="277"/>
      <c r="C191" s="277"/>
      <c r="D191" s="277"/>
    </row>
    <row r="192">
      <c r="A192" s="277"/>
      <c r="B192" s="277"/>
      <c r="C192" s="277"/>
      <c r="D192" s="277"/>
    </row>
    <row r="193">
      <c r="A193" s="277"/>
      <c r="B193" s="277"/>
      <c r="C193" s="277"/>
      <c r="D193" s="277"/>
    </row>
    <row r="194">
      <c r="A194" s="277"/>
      <c r="B194" s="277"/>
      <c r="C194" s="277"/>
      <c r="D194" s="277"/>
    </row>
    <row r="195">
      <c r="A195" s="277"/>
      <c r="B195" s="277"/>
      <c r="C195" s="277"/>
      <c r="D195" s="277"/>
    </row>
    <row r="196">
      <c r="A196" s="277"/>
      <c r="B196" s="277"/>
      <c r="C196" s="277"/>
      <c r="D196" s="277"/>
    </row>
    <row r="197">
      <c r="A197" s="277"/>
      <c r="B197" s="277"/>
      <c r="C197" s="277"/>
      <c r="D197" s="277"/>
    </row>
    <row r="198">
      <c r="A198" s="277"/>
      <c r="B198" s="277"/>
      <c r="C198" s="277"/>
      <c r="D198" s="277"/>
    </row>
    <row r="199">
      <c r="A199" s="277"/>
      <c r="B199" s="277"/>
      <c r="C199" s="277"/>
      <c r="D199" s="277"/>
    </row>
    <row r="200">
      <c r="A200" s="277"/>
      <c r="B200" s="277"/>
      <c r="C200" s="277"/>
      <c r="D200" s="277"/>
    </row>
    <row r="201">
      <c r="A201" s="277"/>
      <c r="B201" s="277"/>
      <c r="C201" s="277"/>
      <c r="D201" s="277"/>
    </row>
    <row r="202">
      <c r="A202" s="277"/>
      <c r="B202" s="277"/>
      <c r="C202" s="277"/>
      <c r="D202" s="277"/>
    </row>
    <row r="203">
      <c r="A203" s="277"/>
      <c r="B203" s="277"/>
      <c r="C203" s="277"/>
      <c r="D203" s="277"/>
    </row>
    <row r="204">
      <c r="A204" s="277"/>
      <c r="B204" s="277"/>
      <c r="C204" s="277"/>
      <c r="D204" s="277"/>
    </row>
    <row r="205">
      <c r="A205" s="277"/>
      <c r="B205" s="277"/>
      <c r="C205" s="277"/>
      <c r="D205" s="277"/>
    </row>
    <row r="206">
      <c r="A206" s="277"/>
      <c r="B206" s="277"/>
      <c r="C206" s="277"/>
      <c r="D206" s="277"/>
    </row>
    <row r="207">
      <c r="A207" s="277"/>
      <c r="B207" s="277"/>
      <c r="C207" s="277"/>
      <c r="D207" s="277"/>
    </row>
    <row r="208">
      <c r="A208" s="277"/>
      <c r="B208" s="277"/>
      <c r="C208" s="277"/>
      <c r="D208" s="277"/>
    </row>
    <row r="209">
      <c r="A209" s="277"/>
      <c r="B209" s="277"/>
      <c r="C209" s="277"/>
      <c r="D209" s="277"/>
    </row>
    <row r="210">
      <c r="A210" s="277"/>
      <c r="B210" s="277"/>
      <c r="C210" s="277"/>
      <c r="D210" s="277"/>
    </row>
    <row r="211">
      <c r="A211" s="277"/>
      <c r="B211" s="277"/>
      <c r="C211" s="277"/>
      <c r="D211" s="277"/>
    </row>
    <row r="212">
      <c r="A212" s="277"/>
      <c r="B212" s="277"/>
      <c r="C212" s="277"/>
      <c r="D212" s="277"/>
    </row>
    <row r="213">
      <c r="A213" s="277"/>
      <c r="B213" s="277"/>
      <c r="C213" s="277"/>
      <c r="D213" s="277"/>
    </row>
    <row r="214">
      <c r="A214" s="277"/>
      <c r="B214" s="277"/>
      <c r="C214" s="277"/>
      <c r="D214" s="277"/>
    </row>
    <row r="215">
      <c r="A215" s="277"/>
      <c r="B215" s="277"/>
      <c r="C215" s="277"/>
      <c r="D215" s="277"/>
    </row>
    <row r="216">
      <c r="A216" s="277"/>
      <c r="B216" s="277"/>
      <c r="C216" s="277"/>
      <c r="D216" s="277"/>
    </row>
    <row r="217">
      <c r="A217" s="277"/>
      <c r="B217" s="277"/>
      <c r="C217" s="277"/>
      <c r="D217" s="277"/>
    </row>
    <row r="218">
      <c r="A218" s="277"/>
      <c r="B218" s="277"/>
      <c r="C218" s="277"/>
      <c r="D218" s="277"/>
    </row>
    <row r="219">
      <c r="A219" s="277"/>
      <c r="B219" s="277"/>
      <c r="C219" s="277"/>
      <c r="D219" s="277"/>
    </row>
    <row r="220">
      <c r="A220" s="277"/>
      <c r="B220" s="277"/>
      <c r="C220" s="277"/>
      <c r="D220" s="277"/>
    </row>
    <row r="221">
      <c r="A221" s="277"/>
      <c r="B221" s="277"/>
      <c r="C221" s="277"/>
      <c r="D221" s="277"/>
    </row>
    <row r="222">
      <c r="A222" s="277"/>
      <c r="B222" s="277"/>
      <c r="C222" s="277"/>
      <c r="D222" s="277"/>
    </row>
    <row r="223">
      <c r="A223" s="277"/>
      <c r="B223" s="277"/>
      <c r="C223" s="277"/>
      <c r="D223" s="277"/>
    </row>
    <row r="224">
      <c r="A224" s="277"/>
      <c r="B224" s="277"/>
      <c r="C224" s="277"/>
      <c r="D224" s="277"/>
    </row>
    <row r="225">
      <c r="A225" s="277"/>
      <c r="B225" s="277"/>
      <c r="C225" s="277"/>
      <c r="D225" s="277"/>
    </row>
    <row r="226">
      <c r="A226" s="277"/>
      <c r="B226" s="277"/>
      <c r="C226" s="277"/>
      <c r="D226" s="277"/>
    </row>
    <row r="227">
      <c r="A227" s="277"/>
      <c r="B227" s="277"/>
      <c r="C227" s="277"/>
      <c r="D227" s="277"/>
    </row>
    <row r="228">
      <c r="A228" s="277"/>
      <c r="B228" s="277"/>
      <c r="C228" s="277"/>
      <c r="D228" s="277"/>
    </row>
    <row r="229">
      <c r="A229" s="277"/>
      <c r="B229" s="277"/>
      <c r="C229" s="277"/>
      <c r="D229" s="277"/>
    </row>
    <row r="230">
      <c r="A230" s="277"/>
      <c r="B230" s="277"/>
      <c r="C230" s="277"/>
      <c r="D230" s="277"/>
    </row>
    <row r="231">
      <c r="A231" s="277"/>
      <c r="B231" s="277"/>
      <c r="C231" s="277"/>
      <c r="D231" s="277"/>
    </row>
    <row r="232">
      <c r="A232" s="277"/>
      <c r="B232" s="277"/>
      <c r="C232" s="277"/>
      <c r="D232" s="277"/>
    </row>
    <row r="233">
      <c r="A233" s="277"/>
      <c r="B233" s="277"/>
      <c r="C233" s="277"/>
      <c r="D233" s="277"/>
    </row>
    <row r="234">
      <c r="A234" s="277"/>
      <c r="B234" s="277"/>
      <c r="C234" s="277"/>
      <c r="D234" s="277"/>
    </row>
    <row r="235">
      <c r="A235" s="277"/>
      <c r="B235" s="277"/>
      <c r="C235" s="277"/>
      <c r="D235" s="277"/>
    </row>
    <row r="236">
      <c r="A236" s="277"/>
      <c r="B236" s="277"/>
      <c r="C236" s="277"/>
      <c r="D236" s="277"/>
    </row>
    <row r="237">
      <c r="A237" s="277"/>
      <c r="B237" s="277"/>
      <c r="C237" s="277"/>
      <c r="D237" s="277"/>
    </row>
    <row r="238">
      <c r="A238" s="277"/>
      <c r="B238" s="277"/>
      <c r="C238" s="277"/>
      <c r="D238" s="277"/>
    </row>
    <row r="239">
      <c r="A239" s="277"/>
      <c r="B239" s="277"/>
      <c r="C239" s="277"/>
      <c r="D239" s="277"/>
    </row>
    <row r="240">
      <c r="A240" s="277"/>
      <c r="B240" s="277"/>
      <c r="C240" s="277"/>
      <c r="D240" s="277"/>
    </row>
    <row r="241">
      <c r="A241" s="277"/>
      <c r="B241" s="277"/>
      <c r="C241" s="277"/>
      <c r="D241" s="277"/>
    </row>
    <row r="242">
      <c r="A242" s="277"/>
      <c r="B242" s="277"/>
      <c r="C242" s="277"/>
      <c r="D242" s="277"/>
    </row>
    <row r="243">
      <c r="A243" s="277"/>
      <c r="B243" s="277"/>
      <c r="C243" s="277"/>
      <c r="D243" s="277"/>
    </row>
    <row r="244">
      <c r="A244" s="277"/>
      <c r="B244" s="277"/>
      <c r="C244" s="277"/>
      <c r="D244" s="277"/>
    </row>
    <row r="245">
      <c r="A245" s="277"/>
      <c r="B245" s="277"/>
      <c r="C245" s="277"/>
      <c r="D245" s="277"/>
    </row>
    <row r="246">
      <c r="A246" s="277"/>
      <c r="B246" s="277"/>
      <c r="C246" s="277"/>
      <c r="D246" s="277"/>
    </row>
    <row r="247">
      <c r="A247" s="277"/>
      <c r="B247" s="277"/>
      <c r="C247" s="277"/>
      <c r="D247" s="277"/>
    </row>
    <row r="248">
      <c r="A248" s="277"/>
      <c r="B248" s="277"/>
      <c r="C248" s="277"/>
      <c r="D248" s="277"/>
    </row>
    <row r="249">
      <c r="A249" s="277"/>
      <c r="B249" s="277"/>
      <c r="C249" s="277"/>
      <c r="D249" s="277"/>
    </row>
    <row r="250">
      <c r="A250" s="277"/>
      <c r="B250" s="277"/>
      <c r="C250" s="277"/>
      <c r="D250" s="277"/>
    </row>
    <row r="251">
      <c r="A251" s="277"/>
      <c r="B251" s="277"/>
      <c r="C251" s="277"/>
      <c r="D251" s="277"/>
    </row>
    <row r="252">
      <c r="A252" s="277"/>
      <c r="B252" s="277"/>
      <c r="C252" s="277"/>
      <c r="D252" s="277"/>
    </row>
    <row r="253">
      <c r="A253" s="277"/>
      <c r="B253" s="277"/>
      <c r="C253" s="277"/>
      <c r="D253" s="277"/>
    </row>
    <row r="254">
      <c r="A254" s="277"/>
      <c r="B254" s="277"/>
      <c r="C254" s="277"/>
      <c r="D254" s="277"/>
    </row>
    <row r="255">
      <c r="A255" s="277"/>
      <c r="B255" s="277"/>
      <c r="C255" s="277"/>
      <c r="D255" s="277"/>
    </row>
    <row r="256">
      <c r="A256" s="277"/>
      <c r="B256" s="277"/>
      <c r="C256" s="277"/>
      <c r="D256" s="277"/>
    </row>
    <row r="257">
      <c r="A257" s="277"/>
      <c r="B257" s="277"/>
      <c r="C257" s="277"/>
      <c r="D257" s="277"/>
    </row>
    <row r="258">
      <c r="A258" s="277"/>
      <c r="B258" s="277"/>
      <c r="C258" s="277"/>
      <c r="D258" s="277"/>
    </row>
    <row r="259">
      <c r="A259" s="277"/>
      <c r="B259" s="277"/>
      <c r="C259" s="277"/>
      <c r="D259" s="277"/>
    </row>
    <row r="260">
      <c r="A260" s="277"/>
      <c r="B260" s="277"/>
      <c r="C260" s="277"/>
      <c r="D260" s="277"/>
    </row>
    <row r="261">
      <c r="A261" s="277"/>
      <c r="B261" s="277"/>
      <c r="C261" s="277"/>
      <c r="D261" s="277"/>
    </row>
    <row r="262">
      <c r="A262" s="277"/>
      <c r="B262" s="277"/>
      <c r="C262" s="277"/>
      <c r="D262" s="277"/>
    </row>
    <row r="263">
      <c r="A263" s="277"/>
      <c r="B263" s="277"/>
      <c r="C263" s="277"/>
      <c r="D263" s="277"/>
    </row>
    <row r="264">
      <c r="A264" s="277"/>
      <c r="B264" s="277"/>
      <c r="C264" s="277"/>
      <c r="D264" s="277"/>
    </row>
    <row r="265">
      <c r="A265" s="277"/>
      <c r="B265" s="277"/>
      <c r="C265" s="277"/>
      <c r="D265" s="277"/>
    </row>
    <row r="266">
      <c r="A266" s="277"/>
      <c r="B266" s="277"/>
      <c r="C266" s="277"/>
      <c r="D266" s="277"/>
    </row>
    <row r="267">
      <c r="A267" s="277"/>
      <c r="B267" s="277"/>
      <c r="C267" s="277"/>
      <c r="D267" s="277"/>
    </row>
    <row r="268">
      <c r="A268" s="277"/>
      <c r="B268" s="277"/>
      <c r="C268" s="277"/>
      <c r="D268" s="277"/>
    </row>
    <row r="269">
      <c r="A269" s="277"/>
      <c r="B269" s="277"/>
      <c r="C269" s="277"/>
      <c r="D269" s="277"/>
    </row>
    <row r="270">
      <c r="A270" s="277"/>
      <c r="B270" s="277"/>
      <c r="C270" s="277"/>
      <c r="D270" s="277"/>
    </row>
    <row r="271">
      <c r="A271" s="277"/>
      <c r="B271" s="277"/>
      <c r="C271" s="277"/>
      <c r="D271" s="277"/>
    </row>
    <row r="272">
      <c r="A272" s="277"/>
      <c r="B272" s="277"/>
      <c r="C272" s="277"/>
      <c r="D272" s="277"/>
    </row>
    <row r="273">
      <c r="A273" s="277"/>
      <c r="B273" s="277"/>
      <c r="C273" s="277"/>
      <c r="D273" s="277"/>
    </row>
    <row r="274">
      <c r="A274" s="277"/>
      <c r="B274" s="277"/>
      <c r="C274" s="277"/>
      <c r="D274" s="277"/>
    </row>
    <row r="275">
      <c r="A275" s="277"/>
      <c r="B275" s="277"/>
      <c r="C275" s="277"/>
      <c r="D275" s="277"/>
    </row>
    <row r="276">
      <c r="A276" s="277"/>
      <c r="B276" s="277"/>
      <c r="C276" s="277"/>
      <c r="D276" s="277"/>
    </row>
    <row r="277">
      <c r="A277" s="277"/>
      <c r="B277" s="277"/>
      <c r="C277" s="277"/>
      <c r="D277" s="277"/>
    </row>
    <row r="278">
      <c r="A278" s="277"/>
      <c r="B278" s="277"/>
      <c r="C278" s="277"/>
      <c r="D278" s="277"/>
    </row>
    <row r="279">
      <c r="A279" s="277"/>
      <c r="B279" s="277"/>
      <c r="C279" s="277"/>
      <c r="D279" s="277"/>
    </row>
    <row r="280">
      <c r="A280" s="277"/>
      <c r="B280" s="277"/>
      <c r="C280" s="277"/>
      <c r="D280" s="277"/>
    </row>
    <row r="281">
      <c r="A281" s="277"/>
      <c r="B281" s="277"/>
      <c r="C281" s="277"/>
      <c r="D281" s="277"/>
    </row>
    <row r="282">
      <c r="A282" s="277"/>
      <c r="B282" s="277"/>
      <c r="C282" s="277"/>
      <c r="D282" s="277"/>
    </row>
    <row r="283">
      <c r="A283" s="277"/>
      <c r="B283" s="277"/>
      <c r="C283" s="277"/>
      <c r="D283" s="277"/>
    </row>
    <row r="284">
      <c r="A284" s="277"/>
      <c r="B284" s="277"/>
      <c r="C284" s="277"/>
      <c r="D284" s="277"/>
    </row>
    <row r="285">
      <c r="A285" s="277"/>
      <c r="B285" s="277"/>
      <c r="C285" s="277"/>
      <c r="D285" s="277"/>
    </row>
    <row r="286">
      <c r="A286" s="277"/>
      <c r="B286" s="277"/>
      <c r="C286" s="277"/>
      <c r="D286" s="277"/>
    </row>
    <row r="287">
      <c r="A287" s="277"/>
      <c r="B287" s="277"/>
      <c r="C287" s="277"/>
      <c r="D287" s="277"/>
    </row>
    <row r="288">
      <c r="A288" s="277"/>
      <c r="B288" s="277"/>
      <c r="C288" s="277"/>
      <c r="D288" s="277"/>
    </row>
    <row r="289">
      <c r="A289" s="277"/>
      <c r="B289" s="277"/>
      <c r="C289" s="277"/>
      <c r="D289" s="277"/>
    </row>
    <row r="290">
      <c r="A290" s="277"/>
      <c r="B290" s="277"/>
      <c r="C290" s="277"/>
      <c r="D290" s="277"/>
    </row>
    <row r="291">
      <c r="A291" s="277"/>
      <c r="B291" s="277"/>
      <c r="C291" s="277"/>
      <c r="D291" s="277"/>
    </row>
    <row r="292">
      <c r="A292" s="277"/>
      <c r="B292" s="277"/>
      <c r="C292" s="277"/>
      <c r="D292" s="277"/>
    </row>
    <row r="293">
      <c r="A293" s="277"/>
      <c r="B293" s="277"/>
      <c r="C293" s="277"/>
      <c r="D293" s="277"/>
    </row>
    <row r="294">
      <c r="A294" s="277"/>
      <c r="B294" s="277"/>
      <c r="C294" s="277"/>
      <c r="D294" s="277"/>
    </row>
    <row r="295">
      <c r="A295" s="277"/>
      <c r="B295" s="277"/>
      <c r="C295" s="277"/>
      <c r="D295" s="277"/>
    </row>
    <row r="296">
      <c r="A296" s="277"/>
      <c r="B296" s="277"/>
      <c r="C296" s="277"/>
      <c r="D296" s="277"/>
    </row>
    <row r="297">
      <c r="A297" s="277"/>
      <c r="B297" s="277"/>
      <c r="C297" s="277"/>
      <c r="D297" s="277"/>
    </row>
    <row r="298">
      <c r="A298" s="277"/>
      <c r="B298" s="277"/>
      <c r="C298" s="277"/>
      <c r="D298" s="277"/>
    </row>
    <row r="299">
      <c r="A299" s="277"/>
      <c r="B299" s="277"/>
      <c r="C299" s="277"/>
      <c r="D299" s="277"/>
    </row>
    <row r="300">
      <c r="A300" s="277"/>
      <c r="B300" s="277"/>
      <c r="C300" s="277"/>
      <c r="D300" s="277"/>
    </row>
    <row r="301">
      <c r="A301" s="277"/>
      <c r="B301" s="277"/>
      <c r="C301" s="277"/>
      <c r="D301" s="277"/>
    </row>
    <row r="302">
      <c r="A302" s="277"/>
      <c r="B302" s="277"/>
      <c r="C302" s="277"/>
      <c r="D302" s="277"/>
    </row>
    <row r="303">
      <c r="A303" s="277"/>
      <c r="B303" s="277"/>
      <c r="C303" s="277"/>
      <c r="D303" s="277"/>
    </row>
    <row r="304">
      <c r="A304" s="277"/>
      <c r="B304" s="277"/>
      <c r="C304" s="277"/>
      <c r="D304" s="277"/>
    </row>
    <row r="305">
      <c r="A305" s="277"/>
      <c r="B305" s="277"/>
      <c r="C305" s="277"/>
      <c r="D305" s="277"/>
    </row>
    <row r="306">
      <c r="A306" s="277"/>
      <c r="B306" s="277"/>
      <c r="C306" s="277"/>
      <c r="D306" s="277"/>
    </row>
    <row r="307">
      <c r="A307" s="277"/>
      <c r="B307" s="277"/>
      <c r="C307" s="277"/>
      <c r="D307" s="277"/>
    </row>
    <row r="308">
      <c r="A308" s="277"/>
      <c r="B308" s="277"/>
      <c r="C308" s="277"/>
      <c r="D308" s="277"/>
    </row>
    <row r="309">
      <c r="A309" s="277"/>
      <c r="B309" s="277"/>
      <c r="C309" s="277"/>
      <c r="D309" s="277"/>
    </row>
    <row r="310">
      <c r="A310" s="277"/>
      <c r="B310" s="277"/>
      <c r="C310" s="277"/>
      <c r="D310" s="277"/>
    </row>
    <row r="311">
      <c r="A311" s="277"/>
      <c r="B311" s="277"/>
      <c r="C311" s="277"/>
      <c r="D311" s="277"/>
    </row>
    <row r="312">
      <c r="A312" s="277"/>
      <c r="B312" s="277"/>
      <c r="C312" s="277"/>
      <c r="D312" s="277"/>
    </row>
    <row r="313">
      <c r="A313" s="277"/>
      <c r="B313" s="277"/>
      <c r="C313" s="277"/>
      <c r="D313" s="277"/>
    </row>
    <row r="314">
      <c r="A314" s="277"/>
      <c r="B314" s="277"/>
      <c r="C314" s="277"/>
      <c r="D314" s="277"/>
    </row>
    <row r="315">
      <c r="A315" s="277"/>
      <c r="B315" s="277"/>
      <c r="C315" s="277"/>
      <c r="D315" s="277"/>
    </row>
    <row r="316">
      <c r="A316" s="277"/>
      <c r="B316" s="277"/>
      <c r="C316" s="277"/>
      <c r="D316" s="277"/>
    </row>
    <row r="317">
      <c r="A317" s="277"/>
      <c r="B317" s="277"/>
      <c r="C317" s="277"/>
      <c r="D317" s="277"/>
    </row>
    <row r="318">
      <c r="A318" s="277"/>
      <c r="B318" s="277"/>
      <c r="C318" s="277"/>
      <c r="D318" s="277"/>
    </row>
    <row r="319">
      <c r="A319" s="277"/>
      <c r="B319" s="277"/>
      <c r="C319" s="277"/>
      <c r="D319" s="277"/>
    </row>
    <row r="320">
      <c r="A320" s="277"/>
      <c r="B320" s="277"/>
      <c r="C320" s="277"/>
      <c r="D320" s="277"/>
    </row>
    <row r="321">
      <c r="A321" s="277"/>
      <c r="B321" s="277"/>
      <c r="C321" s="277"/>
      <c r="D321" s="277"/>
    </row>
    <row r="322">
      <c r="A322" s="277"/>
      <c r="B322" s="277"/>
      <c r="C322" s="277"/>
      <c r="D322" s="277"/>
    </row>
    <row r="323">
      <c r="A323" s="277"/>
      <c r="B323" s="277"/>
      <c r="C323" s="277"/>
      <c r="D323" s="277"/>
    </row>
    <row r="324">
      <c r="A324" s="277"/>
      <c r="B324" s="277"/>
      <c r="C324" s="277"/>
      <c r="D324" s="277"/>
    </row>
    <row r="325">
      <c r="A325" s="277"/>
      <c r="B325" s="277"/>
      <c r="C325" s="277"/>
      <c r="D325" s="277"/>
    </row>
    <row r="326">
      <c r="A326" s="277"/>
      <c r="B326" s="277"/>
      <c r="C326" s="277"/>
      <c r="D326" s="277"/>
    </row>
    <row r="327">
      <c r="A327" s="277"/>
      <c r="B327" s="277"/>
      <c r="C327" s="277"/>
      <c r="D327" s="277"/>
    </row>
    <row r="328">
      <c r="A328" s="277"/>
      <c r="B328" s="277"/>
      <c r="C328" s="277"/>
      <c r="D328" s="277"/>
    </row>
    <row r="329">
      <c r="A329" s="277"/>
      <c r="B329" s="277"/>
      <c r="C329" s="277"/>
      <c r="D329" s="277"/>
    </row>
    <row r="330">
      <c r="A330" s="277"/>
      <c r="B330" s="277"/>
      <c r="C330" s="277"/>
      <c r="D330" s="277"/>
    </row>
    <row r="331">
      <c r="A331" s="277"/>
      <c r="B331" s="277"/>
      <c r="C331" s="277"/>
      <c r="D331" s="277"/>
    </row>
    <row r="332">
      <c r="A332" s="277"/>
      <c r="B332" s="277"/>
      <c r="C332" s="277"/>
      <c r="D332" s="277"/>
    </row>
    <row r="333">
      <c r="A333" s="277"/>
      <c r="B333" s="277"/>
      <c r="C333" s="277"/>
      <c r="D333" s="277"/>
    </row>
    <row r="334">
      <c r="A334" s="277"/>
      <c r="B334" s="277"/>
      <c r="C334" s="277"/>
      <c r="D334" s="277"/>
    </row>
    <row r="335">
      <c r="A335" s="277"/>
      <c r="B335" s="277"/>
      <c r="C335" s="277"/>
      <c r="D335" s="277"/>
    </row>
    <row r="336">
      <c r="A336" s="277"/>
      <c r="B336" s="277"/>
      <c r="C336" s="277"/>
      <c r="D336" s="277"/>
    </row>
    <row r="337">
      <c r="A337" s="277"/>
      <c r="B337" s="277"/>
      <c r="C337" s="277"/>
      <c r="D337" s="277"/>
    </row>
    <row r="338">
      <c r="A338" s="277"/>
      <c r="B338" s="277"/>
      <c r="C338" s="277"/>
      <c r="D338" s="277"/>
    </row>
    <row r="339">
      <c r="A339" s="277"/>
      <c r="B339" s="277"/>
      <c r="C339" s="277"/>
      <c r="D339" s="277"/>
    </row>
    <row r="340">
      <c r="A340" s="277"/>
      <c r="B340" s="277"/>
      <c r="C340" s="277"/>
      <c r="D340" s="277"/>
    </row>
    <row r="341">
      <c r="A341" s="277"/>
      <c r="B341" s="277"/>
      <c r="C341" s="277"/>
      <c r="D341" s="277"/>
    </row>
    <row r="342">
      <c r="A342" s="277"/>
      <c r="B342" s="277"/>
      <c r="C342" s="277"/>
      <c r="D342" s="277"/>
    </row>
    <row r="343">
      <c r="A343" s="277"/>
      <c r="B343" s="277"/>
      <c r="C343" s="277"/>
      <c r="D343" s="277"/>
    </row>
    <row r="344">
      <c r="A344" s="277"/>
      <c r="B344" s="277"/>
      <c r="C344" s="277"/>
      <c r="D344" s="277"/>
    </row>
    <row r="345">
      <c r="A345" s="277"/>
      <c r="B345" s="277"/>
      <c r="C345" s="277"/>
      <c r="D345" s="277"/>
    </row>
    <row r="346">
      <c r="A346" s="277"/>
      <c r="B346" s="277"/>
      <c r="C346" s="277"/>
      <c r="D346" s="277"/>
    </row>
    <row r="347">
      <c r="A347" s="277"/>
      <c r="B347" s="277"/>
      <c r="C347" s="277"/>
      <c r="D347" s="277"/>
    </row>
    <row r="348">
      <c r="A348" s="277"/>
      <c r="B348" s="277"/>
      <c r="C348" s="277"/>
      <c r="D348" s="277"/>
    </row>
    <row r="349">
      <c r="A349" s="277"/>
      <c r="B349" s="277"/>
      <c r="C349" s="277"/>
      <c r="D349" s="277"/>
    </row>
    <row r="350">
      <c r="A350" s="277"/>
      <c r="B350" s="277"/>
      <c r="C350" s="277"/>
      <c r="D350" s="277"/>
    </row>
    <row r="351">
      <c r="A351" s="277"/>
      <c r="B351" s="277"/>
      <c r="C351" s="277"/>
      <c r="D351" s="277"/>
    </row>
    <row r="352">
      <c r="A352" s="277"/>
      <c r="B352" s="277"/>
      <c r="C352" s="277"/>
      <c r="D352" s="277"/>
    </row>
    <row r="353">
      <c r="A353" s="277"/>
      <c r="B353" s="277"/>
      <c r="C353" s="277"/>
      <c r="D353" s="277"/>
    </row>
    <row r="354">
      <c r="A354" s="277"/>
      <c r="B354" s="277"/>
      <c r="C354" s="277"/>
      <c r="D354" s="277"/>
    </row>
    <row r="355">
      <c r="A355" s="277"/>
      <c r="B355" s="277"/>
      <c r="C355" s="277"/>
      <c r="D355" s="277"/>
    </row>
    <row r="356">
      <c r="A356" s="277"/>
      <c r="B356" s="277"/>
      <c r="C356" s="277"/>
      <c r="D356" s="277"/>
    </row>
    <row r="357">
      <c r="A357" s="277"/>
      <c r="B357" s="277"/>
      <c r="C357" s="277"/>
      <c r="D357" s="277"/>
    </row>
    <row r="358">
      <c r="A358" s="277"/>
      <c r="B358" s="277"/>
      <c r="C358" s="277"/>
      <c r="D358" s="277"/>
    </row>
    <row r="359">
      <c r="A359" s="277"/>
      <c r="B359" s="277"/>
      <c r="C359" s="277"/>
      <c r="D359" s="277"/>
    </row>
    <row r="360">
      <c r="A360" s="277"/>
      <c r="B360" s="277"/>
      <c r="C360" s="277"/>
      <c r="D360" s="277"/>
    </row>
    <row r="361">
      <c r="A361" s="277"/>
      <c r="B361" s="277"/>
      <c r="C361" s="277"/>
      <c r="D361" s="277"/>
    </row>
    <row r="362">
      <c r="A362" s="277"/>
      <c r="B362" s="277"/>
      <c r="C362" s="277"/>
      <c r="D362" s="277"/>
    </row>
    <row r="363">
      <c r="A363" s="277"/>
      <c r="B363" s="277"/>
      <c r="C363" s="277"/>
      <c r="D363" s="277"/>
    </row>
    <row r="364">
      <c r="A364" s="277"/>
      <c r="B364" s="277"/>
      <c r="C364" s="277"/>
      <c r="D364" s="277"/>
    </row>
    <row r="365">
      <c r="A365" s="277"/>
      <c r="B365" s="277"/>
      <c r="C365" s="277"/>
      <c r="D365" s="277"/>
    </row>
    <row r="366">
      <c r="A366" s="277"/>
      <c r="B366" s="277"/>
      <c r="C366" s="277"/>
      <c r="D366" s="277"/>
    </row>
    <row r="367">
      <c r="A367" s="277"/>
      <c r="B367" s="277"/>
      <c r="C367" s="277"/>
      <c r="D367" s="277"/>
    </row>
    <row r="368">
      <c r="A368" s="277"/>
      <c r="B368" s="277"/>
      <c r="C368" s="277"/>
      <c r="D368" s="277"/>
    </row>
    <row r="369">
      <c r="A369" s="277"/>
      <c r="B369" s="277"/>
      <c r="C369" s="277"/>
      <c r="D369" s="277"/>
    </row>
    <row r="370">
      <c r="A370" s="277"/>
      <c r="B370" s="277"/>
      <c r="C370" s="277"/>
      <c r="D370" s="277"/>
    </row>
    <row r="371">
      <c r="A371" s="277"/>
      <c r="B371" s="277"/>
      <c r="C371" s="277"/>
      <c r="D371" s="277"/>
    </row>
    <row r="372">
      <c r="A372" s="277"/>
      <c r="B372" s="277"/>
      <c r="C372" s="277"/>
      <c r="D372" s="277"/>
    </row>
    <row r="373">
      <c r="A373" s="277"/>
      <c r="B373" s="277"/>
      <c r="C373" s="277"/>
      <c r="D373" s="277"/>
    </row>
    <row r="374">
      <c r="A374" s="277"/>
      <c r="B374" s="277"/>
      <c r="C374" s="277"/>
      <c r="D374" s="277"/>
    </row>
    <row r="375">
      <c r="A375" s="277"/>
      <c r="B375" s="277"/>
      <c r="C375" s="277"/>
      <c r="D375" s="277"/>
    </row>
    <row r="376">
      <c r="A376" s="277"/>
      <c r="B376" s="277"/>
      <c r="C376" s="277"/>
      <c r="D376" s="277"/>
    </row>
    <row r="377">
      <c r="A377" s="277"/>
      <c r="B377" s="277"/>
      <c r="C377" s="277"/>
      <c r="D377" s="277"/>
    </row>
    <row r="378">
      <c r="A378" s="277"/>
      <c r="B378" s="277"/>
      <c r="C378" s="277"/>
      <c r="D378" s="277"/>
    </row>
    <row r="379">
      <c r="A379" s="277"/>
      <c r="B379" s="277"/>
      <c r="C379" s="277"/>
      <c r="D379" s="277"/>
    </row>
    <row r="380">
      <c r="A380" s="277"/>
      <c r="B380" s="277"/>
      <c r="C380" s="277"/>
      <c r="D380" s="277"/>
    </row>
    <row r="381">
      <c r="A381" s="277"/>
      <c r="B381" s="277"/>
      <c r="C381" s="277"/>
      <c r="D381" s="277"/>
    </row>
    <row r="382">
      <c r="A382" s="277"/>
      <c r="B382" s="277"/>
      <c r="C382" s="277"/>
      <c r="D382" s="277"/>
    </row>
    <row r="383">
      <c r="A383" s="277"/>
      <c r="B383" s="277"/>
      <c r="C383" s="277"/>
      <c r="D383" s="277"/>
    </row>
    <row r="384">
      <c r="A384" s="277"/>
      <c r="B384" s="277"/>
      <c r="C384" s="277"/>
      <c r="D384" s="277"/>
    </row>
    <row r="385">
      <c r="A385" s="277"/>
      <c r="B385" s="277"/>
      <c r="C385" s="277"/>
      <c r="D385" s="277"/>
    </row>
    <row r="386">
      <c r="A386" s="277"/>
      <c r="B386" s="277"/>
      <c r="C386" s="277"/>
      <c r="D386" s="277"/>
    </row>
    <row r="387">
      <c r="A387" s="277"/>
      <c r="B387" s="277"/>
      <c r="C387" s="277"/>
      <c r="D387" s="277"/>
    </row>
    <row r="388">
      <c r="A388" s="277"/>
      <c r="B388" s="277"/>
      <c r="C388" s="277"/>
      <c r="D388" s="277"/>
    </row>
    <row r="389">
      <c r="A389" s="277"/>
      <c r="B389" s="277"/>
      <c r="C389" s="277"/>
      <c r="D389" s="277"/>
    </row>
    <row r="390">
      <c r="A390" s="277"/>
      <c r="B390" s="277"/>
      <c r="C390" s="277"/>
      <c r="D390" s="277"/>
    </row>
    <row r="391">
      <c r="A391" s="277"/>
      <c r="B391" s="277"/>
      <c r="C391" s="277"/>
      <c r="D391" s="277"/>
    </row>
    <row r="392">
      <c r="A392" s="277"/>
      <c r="B392" s="277"/>
      <c r="C392" s="277"/>
      <c r="D392" s="277"/>
    </row>
    <row r="393">
      <c r="A393" s="277"/>
      <c r="B393" s="277"/>
      <c r="C393" s="277"/>
      <c r="D393" s="277"/>
    </row>
    <row r="394">
      <c r="A394" s="277"/>
      <c r="B394" s="277"/>
      <c r="C394" s="277"/>
      <c r="D394" s="277"/>
    </row>
    <row r="395">
      <c r="A395" s="277"/>
      <c r="B395" s="277"/>
      <c r="C395" s="277"/>
      <c r="D395" s="277"/>
    </row>
    <row r="396">
      <c r="A396" s="277"/>
      <c r="B396" s="277"/>
      <c r="C396" s="277"/>
      <c r="D396" s="277"/>
    </row>
    <row r="397">
      <c r="A397" s="277"/>
      <c r="B397" s="277"/>
      <c r="C397" s="277"/>
      <c r="D397" s="277"/>
    </row>
    <row r="398">
      <c r="A398" s="277"/>
      <c r="B398" s="277"/>
      <c r="C398" s="277"/>
      <c r="D398" s="277"/>
    </row>
    <row r="399">
      <c r="A399" s="277"/>
      <c r="B399" s="277"/>
      <c r="C399" s="277"/>
      <c r="D399" s="277"/>
    </row>
    <row r="400">
      <c r="A400" s="277"/>
      <c r="B400" s="277"/>
      <c r="C400" s="277"/>
      <c r="D400" s="277"/>
    </row>
    <row r="401">
      <c r="A401" s="277"/>
      <c r="B401" s="277"/>
      <c r="C401" s="277"/>
      <c r="D401" s="277"/>
    </row>
    <row r="402">
      <c r="A402" s="277"/>
      <c r="B402" s="277"/>
      <c r="C402" s="277"/>
      <c r="D402" s="277"/>
    </row>
    <row r="403">
      <c r="A403" s="277"/>
      <c r="B403" s="277"/>
      <c r="C403" s="277"/>
      <c r="D403" s="277"/>
    </row>
    <row r="404">
      <c r="A404" s="277"/>
      <c r="B404" s="277"/>
      <c r="C404" s="277"/>
      <c r="D404" s="277"/>
    </row>
    <row r="405">
      <c r="A405" s="277"/>
      <c r="B405" s="277"/>
      <c r="C405" s="277"/>
      <c r="D405" s="277"/>
    </row>
    <row r="406">
      <c r="A406" s="277"/>
      <c r="B406" s="277"/>
      <c r="C406" s="277"/>
      <c r="D406" s="277"/>
    </row>
    <row r="407">
      <c r="A407" s="277"/>
      <c r="B407" s="277"/>
      <c r="C407" s="277"/>
      <c r="D407" s="277"/>
    </row>
    <row r="408">
      <c r="A408" s="277"/>
      <c r="B408" s="277"/>
      <c r="C408" s="277"/>
      <c r="D408" s="277"/>
    </row>
    <row r="409">
      <c r="A409" s="277"/>
      <c r="B409" s="277"/>
      <c r="C409" s="277"/>
      <c r="D409" s="277"/>
    </row>
    <row r="410">
      <c r="A410" s="277"/>
      <c r="B410" s="277"/>
      <c r="C410" s="277"/>
      <c r="D410" s="277"/>
    </row>
    <row r="411">
      <c r="A411" s="277"/>
      <c r="B411" s="277"/>
      <c r="C411" s="277"/>
      <c r="D411" s="277"/>
    </row>
    <row r="412">
      <c r="A412" s="277"/>
      <c r="B412" s="277"/>
      <c r="C412" s="277"/>
      <c r="D412" s="277"/>
    </row>
    <row r="413">
      <c r="A413" s="277"/>
      <c r="B413" s="277"/>
      <c r="C413" s="277"/>
      <c r="D413" s="277"/>
    </row>
    <row r="414">
      <c r="A414" s="277"/>
      <c r="B414" s="277"/>
      <c r="C414" s="277"/>
      <c r="D414" s="277"/>
    </row>
    <row r="415">
      <c r="A415" s="277"/>
      <c r="B415" s="277"/>
      <c r="C415" s="277"/>
      <c r="D415" s="277"/>
    </row>
    <row r="416">
      <c r="A416" s="277"/>
      <c r="B416" s="277"/>
      <c r="C416" s="277"/>
      <c r="D416" s="277"/>
    </row>
    <row r="417">
      <c r="A417" s="277"/>
      <c r="B417" s="277"/>
      <c r="C417" s="277"/>
      <c r="D417" s="277"/>
    </row>
    <row r="418">
      <c r="A418" s="277"/>
      <c r="B418" s="277"/>
      <c r="C418" s="277"/>
      <c r="D418" s="277"/>
    </row>
    <row r="419">
      <c r="A419" s="277"/>
      <c r="B419" s="277"/>
      <c r="C419" s="277"/>
      <c r="D419" s="277"/>
    </row>
    <row r="420">
      <c r="A420" s="277"/>
      <c r="B420" s="277"/>
      <c r="C420" s="277"/>
      <c r="D420" s="277"/>
    </row>
    <row r="421">
      <c r="A421" s="277"/>
      <c r="B421" s="277"/>
      <c r="C421" s="277"/>
      <c r="D421" s="277"/>
    </row>
    <row r="422">
      <c r="A422" s="277"/>
      <c r="B422" s="277"/>
      <c r="C422" s="277"/>
      <c r="D422" s="277"/>
    </row>
    <row r="423">
      <c r="A423" s="277"/>
      <c r="B423" s="277"/>
      <c r="C423" s="277"/>
      <c r="D423" s="277"/>
    </row>
    <row r="424">
      <c r="A424" s="277"/>
      <c r="B424" s="277"/>
      <c r="C424" s="277"/>
      <c r="D424" s="277"/>
    </row>
    <row r="425">
      <c r="A425" s="277"/>
      <c r="B425" s="277"/>
      <c r="C425" s="277"/>
      <c r="D425" s="277"/>
    </row>
    <row r="426">
      <c r="A426" s="277"/>
      <c r="B426" s="277"/>
      <c r="C426" s="277"/>
      <c r="D426" s="277"/>
    </row>
    <row r="427">
      <c r="A427" s="277"/>
      <c r="B427" s="277"/>
      <c r="C427" s="277"/>
      <c r="D427" s="277"/>
    </row>
    <row r="428">
      <c r="A428" s="277"/>
      <c r="B428" s="277"/>
      <c r="C428" s="277"/>
      <c r="D428" s="277"/>
    </row>
    <row r="429">
      <c r="A429" s="277"/>
      <c r="B429" s="277"/>
      <c r="C429" s="277"/>
      <c r="D429" s="277"/>
    </row>
    <row r="430">
      <c r="A430" s="277"/>
      <c r="B430" s="277"/>
      <c r="C430" s="277"/>
      <c r="D430" s="277"/>
    </row>
    <row r="431">
      <c r="A431" s="277"/>
      <c r="B431" s="277"/>
      <c r="C431" s="277"/>
      <c r="D431" s="277"/>
    </row>
    <row r="432">
      <c r="A432" s="277"/>
      <c r="B432" s="277"/>
      <c r="C432" s="277"/>
      <c r="D432" s="277"/>
    </row>
    <row r="433">
      <c r="A433" s="277"/>
      <c r="B433" s="277"/>
      <c r="C433" s="277"/>
      <c r="D433" s="277"/>
    </row>
    <row r="434">
      <c r="A434" s="277"/>
      <c r="B434" s="277"/>
      <c r="C434" s="277"/>
      <c r="D434" s="277"/>
    </row>
    <row r="435">
      <c r="A435" s="277"/>
      <c r="B435" s="277"/>
      <c r="C435" s="277"/>
      <c r="D435" s="277"/>
    </row>
    <row r="436">
      <c r="A436" s="277"/>
      <c r="B436" s="277"/>
      <c r="C436" s="277"/>
      <c r="D436" s="277"/>
    </row>
    <row r="437">
      <c r="A437" s="277"/>
      <c r="B437" s="277"/>
      <c r="C437" s="277"/>
      <c r="D437" s="277"/>
    </row>
    <row r="438">
      <c r="A438" s="277"/>
      <c r="B438" s="277"/>
      <c r="C438" s="277"/>
      <c r="D438" s="277"/>
    </row>
    <row r="439">
      <c r="A439" s="277"/>
      <c r="B439" s="277"/>
      <c r="C439" s="277"/>
      <c r="D439" s="277"/>
    </row>
    <row r="440">
      <c r="A440" s="277"/>
      <c r="B440" s="277"/>
      <c r="C440" s="277"/>
      <c r="D440" s="277"/>
    </row>
    <row r="441">
      <c r="A441" s="277"/>
      <c r="B441" s="277"/>
      <c r="C441" s="277"/>
      <c r="D441" s="277"/>
    </row>
    <row r="442">
      <c r="A442" s="277"/>
      <c r="B442" s="277"/>
      <c r="C442" s="277"/>
      <c r="D442" s="277"/>
    </row>
    <row r="443">
      <c r="A443" s="277"/>
      <c r="B443" s="277"/>
      <c r="C443" s="277"/>
      <c r="D443" s="277"/>
    </row>
    <row r="444">
      <c r="A444" s="277"/>
      <c r="B444" s="277"/>
      <c r="C444" s="277"/>
      <c r="D444" s="277"/>
    </row>
    <row r="445">
      <c r="A445" s="277"/>
      <c r="B445" s="277"/>
      <c r="C445" s="277"/>
      <c r="D445" s="277"/>
    </row>
    <row r="446">
      <c r="A446" s="277"/>
      <c r="B446" s="277"/>
      <c r="C446" s="277"/>
      <c r="D446" s="277"/>
    </row>
    <row r="447">
      <c r="A447" s="277"/>
      <c r="B447" s="277"/>
      <c r="C447" s="277"/>
      <c r="D447" s="277"/>
    </row>
    <row r="448">
      <c r="A448" s="277"/>
      <c r="B448" s="277"/>
      <c r="C448" s="277"/>
      <c r="D448" s="277"/>
    </row>
    <row r="449">
      <c r="A449" s="277"/>
      <c r="B449" s="277"/>
      <c r="C449" s="277"/>
      <c r="D449" s="277"/>
    </row>
    <row r="450">
      <c r="A450" s="277"/>
      <c r="B450" s="277"/>
      <c r="C450" s="277"/>
      <c r="D450" s="277"/>
    </row>
    <row r="451">
      <c r="A451" s="277"/>
      <c r="B451" s="277"/>
      <c r="C451" s="277"/>
      <c r="D451" s="277"/>
    </row>
    <row r="452">
      <c r="A452" s="277"/>
      <c r="B452" s="277"/>
      <c r="C452" s="277"/>
      <c r="D452" s="277"/>
    </row>
    <row r="453">
      <c r="A453" s="277"/>
      <c r="B453" s="277"/>
      <c r="C453" s="277"/>
      <c r="D453" s="277"/>
    </row>
    <row r="454">
      <c r="A454" s="277"/>
      <c r="B454" s="277"/>
      <c r="C454" s="277"/>
      <c r="D454" s="277"/>
    </row>
    <row r="455">
      <c r="A455" s="277"/>
      <c r="B455" s="277"/>
      <c r="C455" s="277"/>
      <c r="D455" s="277"/>
    </row>
    <row r="456">
      <c r="A456" s="277"/>
      <c r="B456" s="277"/>
      <c r="C456" s="277"/>
      <c r="D456" s="277"/>
    </row>
    <row r="457">
      <c r="A457" s="277"/>
      <c r="B457" s="277"/>
      <c r="C457" s="277"/>
      <c r="D457" s="277"/>
    </row>
    <row r="458">
      <c r="A458" s="277"/>
      <c r="B458" s="277"/>
      <c r="C458" s="277"/>
      <c r="D458" s="277"/>
    </row>
    <row r="459">
      <c r="A459" s="277"/>
      <c r="B459" s="277"/>
      <c r="C459" s="277"/>
      <c r="D459" s="277"/>
    </row>
    <row r="460">
      <c r="A460" s="277"/>
      <c r="B460" s="277"/>
      <c r="C460" s="277"/>
      <c r="D460" s="277"/>
    </row>
    <row r="461">
      <c r="A461" s="277"/>
      <c r="B461" s="277"/>
      <c r="C461" s="277"/>
      <c r="D461" s="277"/>
    </row>
    <row r="462">
      <c r="A462" s="277"/>
      <c r="B462" s="277"/>
      <c r="C462" s="277"/>
      <c r="D462" s="277"/>
    </row>
    <row r="463">
      <c r="A463" s="277"/>
      <c r="B463" s="277"/>
      <c r="C463" s="277"/>
      <c r="D463" s="277"/>
    </row>
    <row r="464">
      <c r="A464" s="277"/>
      <c r="B464" s="277"/>
      <c r="C464" s="277"/>
      <c r="D464" s="277"/>
    </row>
    <row r="465">
      <c r="A465" s="277"/>
      <c r="B465" s="277"/>
      <c r="C465" s="277"/>
      <c r="D465" s="277"/>
    </row>
    <row r="466">
      <c r="A466" s="277"/>
      <c r="B466" s="277"/>
      <c r="C466" s="277"/>
      <c r="D466" s="277"/>
    </row>
    <row r="467">
      <c r="A467" s="277"/>
      <c r="B467" s="277"/>
      <c r="C467" s="277"/>
      <c r="D467" s="277"/>
    </row>
    <row r="468">
      <c r="A468" s="277"/>
      <c r="B468" s="277"/>
      <c r="C468" s="277"/>
      <c r="D468" s="277"/>
    </row>
    <row r="469">
      <c r="A469" s="277"/>
      <c r="B469" s="277"/>
      <c r="C469" s="277"/>
      <c r="D469" s="277"/>
    </row>
    <row r="470">
      <c r="A470" s="277"/>
      <c r="B470" s="277"/>
      <c r="C470" s="277"/>
      <c r="D470" s="277"/>
    </row>
    <row r="471">
      <c r="A471" s="277"/>
      <c r="B471" s="277"/>
      <c r="C471" s="277"/>
      <c r="D471" s="277"/>
    </row>
    <row r="472">
      <c r="A472" s="277"/>
      <c r="B472" s="277"/>
      <c r="C472" s="277"/>
      <c r="D472" s="277"/>
    </row>
    <row r="473">
      <c r="A473" s="277"/>
      <c r="B473" s="277"/>
      <c r="C473" s="277"/>
      <c r="D473" s="277"/>
    </row>
    <row r="474">
      <c r="A474" s="277"/>
      <c r="B474" s="277"/>
      <c r="C474" s="277"/>
      <c r="D474" s="277"/>
    </row>
    <row r="475">
      <c r="A475" s="277"/>
      <c r="B475" s="277"/>
      <c r="C475" s="277"/>
      <c r="D475" s="277"/>
    </row>
    <row r="476">
      <c r="A476" s="277"/>
      <c r="B476" s="277"/>
      <c r="C476" s="277"/>
      <c r="D476" s="277"/>
    </row>
    <row r="477">
      <c r="A477" s="277"/>
      <c r="B477" s="277"/>
      <c r="C477" s="277"/>
      <c r="D477" s="277"/>
    </row>
    <row r="478">
      <c r="A478" s="277"/>
      <c r="B478" s="277"/>
      <c r="C478" s="277"/>
      <c r="D478" s="277"/>
    </row>
    <row r="479">
      <c r="A479" s="277"/>
      <c r="B479" s="277"/>
      <c r="C479" s="277"/>
      <c r="D479" s="277"/>
    </row>
    <row r="480">
      <c r="A480" s="277"/>
      <c r="B480" s="277"/>
      <c r="C480" s="277"/>
      <c r="D480" s="277"/>
    </row>
    <row r="481">
      <c r="A481" s="277"/>
      <c r="B481" s="277"/>
      <c r="C481" s="277"/>
      <c r="D481" s="277"/>
    </row>
    <row r="482">
      <c r="A482" s="277"/>
      <c r="B482" s="277"/>
      <c r="C482" s="277"/>
      <c r="D482" s="277"/>
    </row>
    <row r="483">
      <c r="A483" s="277"/>
      <c r="B483" s="277"/>
      <c r="C483" s="277"/>
      <c r="D483" s="277"/>
    </row>
    <row r="484">
      <c r="A484" s="277"/>
      <c r="B484" s="277"/>
      <c r="C484" s="277"/>
      <c r="D484" s="277"/>
    </row>
    <row r="485">
      <c r="A485" s="277"/>
      <c r="B485" s="277"/>
      <c r="C485" s="277"/>
      <c r="D485" s="277"/>
    </row>
    <row r="486">
      <c r="A486" s="277"/>
      <c r="B486" s="277"/>
      <c r="C486" s="277"/>
      <c r="D486" s="277"/>
    </row>
    <row r="487">
      <c r="A487" s="277"/>
      <c r="B487" s="277"/>
      <c r="C487" s="277"/>
      <c r="D487" s="277"/>
    </row>
    <row r="488">
      <c r="A488" s="277"/>
      <c r="B488" s="277"/>
      <c r="C488" s="277"/>
      <c r="D488" s="277"/>
    </row>
    <row r="489">
      <c r="A489" s="277"/>
      <c r="B489" s="277"/>
      <c r="C489" s="277"/>
      <c r="D489" s="277"/>
    </row>
    <row r="490">
      <c r="A490" s="277"/>
      <c r="B490" s="277"/>
      <c r="C490" s="277"/>
      <c r="D490" s="277"/>
    </row>
    <row r="491">
      <c r="A491" s="277"/>
      <c r="B491" s="277"/>
      <c r="C491" s="277"/>
      <c r="D491" s="277"/>
    </row>
    <row r="492">
      <c r="A492" s="277"/>
      <c r="B492" s="277"/>
      <c r="C492" s="277"/>
      <c r="D492" s="277"/>
    </row>
    <row r="493">
      <c r="A493" s="277"/>
      <c r="B493" s="277"/>
      <c r="C493" s="277"/>
      <c r="D493" s="277"/>
    </row>
    <row r="494">
      <c r="A494" s="277"/>
      <c r="B494" s="277"/>
      <c r="C494" s="277"/>
      <c r="D494" s="277"/>
    </row>
    <row r="495">
      <c r="A495" s="277"/>
      <c r="B495" s="277"/>
      <c r="C495" s="277"/>
      <c r="D495" s="277"/>
    </row>
    <row r="496">
      <c r="A496" s="277"/>
      <c r="B496" s="277"/>
      <c r="C496" s="277"/>
      <c r="D496" s="277"/>
    </row>
    <row r="497">
      <c r="A497" s="277"/>
      <c r="B497" s="277"/>
      <c r="C497" s="277"/>
      <c r="D497" s="277"/>
    </row>
    <row r="498">
      <c r="A498" s="277"/>
      <c r="B498" s="277"/>
      <c r="C498" s="277"/>
      <c r="D498" s="277"/>
    </row>
    <row r="499">
      <c r="A499" s="277"/>
      <c r="B499" s="277"/>
      <c r="C499" s="277"/>
      <c r="D499" s="277"/>
    </row>
    <row r="500">
      <c r="A500" s="277"/>
      <c r="B500" s="277"/>
      <c r="C500" s="277"/>
      <c r="D500" s="277"/>
    </row>
    <row r="501">
      <c r="A501" s="277"/>
      <c r="B501" s="277"/>
      <c r="C501" s="277"/>
      <c r="D501" s="277"/>
    </row>
    <row r="502">
      <c r="A502" s="277"/>
      <c r="B502" s="277"/>
      <c r="C502" s="277"/>
      <c r="D502" s="277"/>
    </row>
    <row r="503">
      <c r="A503" s="277"/>
      <c r="B503" s="277"/>
      <c r="C503" s="277"/>
      <c r="D503" s="277"/>
    </row>
    <row r="504">
      <c r="A504" s="277"/>
      <c r="B504" s="277"/>
      <c r="C504" s="277"/>
      <c r="D504" s="277"/>
    </row>
    <row r="505">
      <c r="A505" s="277"/>
      <c r="B505" s="277"/>
      <c r="C505" s="277"/>
      <c r="D505" s="277"/>
    </row>
    <row r="506">
      <c r="A506" s="277"/>
      <c r="B506" s="277"/>
      <c r="C506" s="277"/>
      <c r="D506" s="277"/>
    </row>
    <row r="507">
      <c r="A507" s="277"/>
      <c r="B507" s="277"/>
      <c r="C507" s="277"/>
      <c r="D507" s="277"/>
    </row>
    <row r="508">
      <c r="A508" s="277"/>
      <c r="B508" s="277"/>
      <c r="C508" s="277"/>
      <c r="D508" s="277"/>
    </row>
    <row r="509">
      <c r="A509" s="277"/>
      <c r="B509" s="277"/>
      <c r="C509" s="277"/>
      <c r="D509" s="277"/>
    </row>
    <row r="510">
      <c r="A510" s="277"/>
      <c r="B510" s="277"/>
      <c r="C510" s="277"/>
      <c r="D510" s="277"/>
    </row>
    <row r="511">
      <c r="A511" s="277"/>
      <c r="B511" s="277"/>
      <c r="C511" s="277"/>
      <c r="D511" s="277"/>
    </row>
    <row r="512">
      <c r="A512" s="277"/>
      <c r="B512" s="277"/>
      <c r="C512" s="277"/>
      <c r="D512" s="277"/>
    </row>
    <row r="513">
      <c r="A513" s="277"/>
      <c r="B513" s="277"/>
      <c r="C513" s="277"/>
      <c r="D513" s="277"/>
    </row>
    <row r="514">
      <c r="A514" s="277"/>
      <c r="B514" s="277"/>
      <c r="C514" s="277"/>
      <c r="D514" s="277"/>
    </row>
    <row r="515">
      <c r="A515" s="277"/>
      <c r="B515" s="277"/>
      <c r="C515" s="277"/>
      <c r="D515" s="277"/>
    </row>
    <row r="516">
      <c r="A516" s="277"/>
      <c r="B516" s="277"/>
      <c r="C516" s="277"/>
      <c r="D516" s="277"/>
    </row>
    <row r="517">
      <c r="A517" s="277"/>
      <c r="B517" s="277"/>
      <c r="C517" s="277"/>
      <c r="D517" s="277"/>
    </row>
    <row r="518">
      <c r="A518" s="277"/>
      <c r="B518" s="277"/>
      <c r="C518" s="277"/>
      <c r="D518" s="277"/>
    </row>
    <row r="519">
      <c r="A519" s="277"/>
      <c r="B519" s="277"/>
      <c r="C519" s="277"/>
      <c r="D519" s="277"/>
    </row>
    <row r="520">
      <c r="A520" s="277"/>
      <c r="B520" s="277"/>
      <c r="C520" s="277"/>
      <c r="D520" s="277"/>
    </row>
    <row r="521">
      <c r="A521" s="277"/>
      <c r="B521" s="277"/>
      <c r="C521" s="277"/>
      <c r="D521" s="277"/>
    </row>
    <row r="522">
      <c r="A522" s="277"/>
      <c r="B522" s="277"/>
      <c r="C522" s="277"/>
      <c r="D522" s="277"/>
    </row>
    <row r="523">
      <c r="A523" s="277"/>
      <c r="B523" s="277"/>
      <c r="C523" s="277"/>
      <c r="D523" s="277"/>
    </row>
    <row r="524">
      <c r="A524" s="277"/>
      <c r="B524" s="277"/>
      <c r="C524" s="277"/>
      <c r="D524" s="277"/>
    </row>
    <row r="525">
      <c r="A525" s="277"/>
      <c r="B525" s="277"/>
      <c r="C525" s="277"/>
      <c r="D525" s="277"/>
    </row>
    <row r="526">
      <c r="A526" s="277"/>
      <c r="B526" s="277"/>
      <c r="C526" s="277"/>
      <c r="D526" s="277"/>
    </row>
    <row r="527">
      <c r="A527" s="277"/>
      <c r="B527" s="277"/>
      <c r="C527" s="277"/>
      <c r="D527" s="277"/>
    </row>
    <row r="528">
      <c r="A528" s="277"/>
      <c r="B528" s="277"/>
      <c r="C528" s="277"/>
      <c r="D528" s="277"/>
    </row>
    <row r="529">
      <c r="A529" s="277"/>
      <c r="B529" s="277"/>
      <c r="C529" s="277"/>
      <c r="D529" s="277"/>
    </row>
    <row r="530">
      <c r="A530" s="277"/>
      <c r="B530" s="277"/>
      <c r="C530" s="277"/>
      <c r="D530" s="277"/>
    </row>
    <row r="531">
      <c r="A531" s="277"/>
      <c r="B531" s="277"/>
      <c r="C531" s="277"/>
      <c r="D531" s="277"/>
    </row>
    <row r="532">
      <c r="A532" s="277"/>
      <c r="B532" s="277"/>
      <c r="C532" s="277"/>
      <c r="D532" s="277"/>
    </row>
    <row r="533">
      <c r="A533" s="277"/>
      <c r="B533" s="277"/>
      <c r="C533" s="277"/>
      <c r="D533" s="277"/>
    </row>
    <row r="534">
      <c r="A534" s="277"/>
      <c r="B534" s="277"/>
      <c r="C534" s="277"/>
      <c r="D534" s="277"/>
    </row>
    <row r="535">
      <c r="A535" s="277"/>
      <c r="B535" s="277"/>
      <c r="C535" s="277"/>
      <c r="D535" s="277"/>
    </row>
    <row r="536">
      <c r="A536" s="277"/>
      <c r="B536" s="277"/>
      <c r="C536" s="277"/>
      <c r="D536" s="277"/>
    </row>
    <row r="537">
      <c r="A537" s="277"/>
      <c r="B537" s="277"/>
      <c r="C537" s="277"/>
      <c r="D537" s="277"/>
    </row>
    <row r="538">
      <c r="A538" s="277"/>
      <c r="B538" s="277"/>
      <c r="C538" s="277"/>
      <c r="D538" s="277"/>
    </row>
    <row r="539">
      <c r="A539" s="277"/>
      <c r="B539" s="277"/>
      <c r="C539" s="277"/>
      <c r="D539" s="277"/>
    </row>
    <row r="540">
      <c r="A540" s="277"/>
      <c r="B540" s="277"/>
      <c r="C540" s="277"/>
      <c r="D540" s="277"/>
    </row>
    <row r="541">
      <c r="A541" s="277"/>
      <c r="B541" s="277"/>
      <c r="C541" s="277"/>
      <c r="D541" s="277"/>
    </row>
    <row r="542">
      <c r="A542" s="277"/>
      <c r="B542" s="277"/>
      <c r="C542" s="277"/>
      <c r="D542" s="277"/>
    </row>
    <row r="543">
      <c r="A543" s="277"/>
      <c r="B543" s="277"/>
      <c r="C543" s="277"/>
      <c r="D543" s="277"/>
    </row>
    <row r="544">
      <c r="A544" s="277"/>
      <c r="B544" s="277"/>
      <c r="C544" s="277"/>
      <c r="D544" s="277"/>
    </row>
    <row r="545">
      <c r="A545" s="277"/>
      <c r="B545" s="277"/>
      <c r="C545" s="277"/>
      <c r="D545" s="277"/>
    </row>
    <row r="546">
      <c r="A546" s="277"/>
      <c r="B546" s="277"/>
      <c r="C546" s="277"/>
      <c r="D546" s="277"/>
    </row>
    <row r="547">
      <c r="A547" s="277"/>
      <c r="B547" s="277"/>
      <c r="C547" s="277"/>
      <c r="D547" s="277"/>
    </row>
    <row r="548">
      <c r="A548" s="277"/>
      <c r="B548" s="277"/>
      <c r="C548" s="277"/>
      <c r="D548" s="277"/>
    </row>
    <row r="549">
      <c r="A549" s="277"/>
      <c r="B549" s="277"/>
      <c r="C549" s="277"/>
      <c r="D549" s="277"/>
    </row>
    <row r="550">
      <c r="A550" s="277"/>
      <c r="B550" s="277"/>
      <c r="C550" s="277"/>
      <c r="D550" s="277"/>
    </row>
    <row r="551">
      <c r="A551" s="277"/>
      <c r="B551" s="277"/>
      <c r="C551" s="277"/>
      <c r="D551" s="277"/>
    </row>
    <row r="552">
      <c r="A552" s="277"/>
      <c r="B552" s="277"/>
      <c r="C552" s="277"/>
      <c r="D552" s="277"/>
    </row>
    <row r="553">
      <c r="A553" s="277"/>
      <c r="B553" s="277"/>
      <c r="C553" s="277"/>
      <c r="D553" s="277"/>
    </row>
    <row r="554">
      <c r="A554" s="277"/>
      <c r="B554" s="277"/>
      <c r="C554" s="277"/>
      <c r="D554" s="277"/>
    </row>
    <row r="555">
      <c r="A555" s="277"/>
      <c r="B555" s="277"/>
      <c r="C555" s="277"/>
      <c r="D555" s="277"/>
    </row>
    <row r="556">
      <c r="A556" s="277"/>
      <c r="B556" s="277"/>
      <c r="C556" s="277"/>
      <c r="D556" s="277"/>
    </row>
    <row r="557">
      <c r="A557" s="277"/>
      <c r="B557" s="277"/>
      <c r="C557" s="277"/>
      <c r="D557" s="277"/>
    </row>
    <row r="558">
      <c r="A558" s="277"/>
      <c r="B558" s="277"/>
      <c r="C558" s="277"/>
      <c r="D558" s="277"/>
    </row>
    <row r="559">
      <c r="A559" s="277"/>
      <c r="B559" s="277"/>
      <c r="C559" s="277"/>
      <c r="D559" s="277"/>
    </row>
    <row r="560">
      <c r="A560" s="277"/>
      <c r="B560" s="277"/>
      <c r="C560" s="277"/>
      <c r="D560" s="277"/>
    </row>
    <row r="561">
      <c r="A561" s="277"/>
      <c r="B561" s="277"/>
      <c r="C561" s="277"/>
      <c r="D561" s="277"/>
    </row>
    <row r="562">
      <c r="A562" s="277"/>
      <c r="B562" s="277"/>
      <c r="C562" s="277"/>
      <c r="D562" s="277"/>
    </row>
    <row r="563">
      <c r="A563" s="277"/>
      <c r="B563" s="277"/>
      <c r="C563" s="277"/>
      <c r="D563" s="277"/>
    </row>
    <row r="564">
      <c r="A564" s="277"/>
      <c r="B564" s="277"/>
      <c r="C564" s="277"/>
      <c r="D564" s="277"/>
    </row>
    <row r="565">
      <c r="A565" s="277"/>
      <c r="B565" s="277"/>
      <c r="C565" s="277"/>
      <c r="D565" s="277"/>
    </row>
    <row r="566">
      <c r="A566" s="277"/>
      <c r="B566" s="277"/>
      <c r="C566" s="277"/>
      <c r="D566" s="277"/>
    </row>
    <row r="567">
      <c r="A567" s="277"/>
      <c r="B567" s="277"/>
      <c r="C567" s="277"/>
      <c r="D567" s="277"/>
    </row>
    <row r="568">
      <c r="A568" s="277"/>
      <c r="B568" s="277"/>
      <c r="C568" s="277"/>
      <c r="D568" s="277"/>
    </row>
    <row r="569">
      <c r="A569" s="277"/>
      <c r="B569" s="277"/>
      <c r="C569" s="277"/>
      <c r="D569" s="277"/>
    </row>
    <row r="570">
      <c r="A570" s="277"/>
      <c r="B570" s="277"/>
      <c r="C570" s="277"/>
      <c r="D570" s="277"/>
    </row>
    <row r="571">
      <c r="A571" s="277"/>
      <c r="B571" s="277"/>
      <c r="C571" s="277"/>
      <c r="D571" s="277"/>
    </row>
    <row r="572">
      <c r="A572" s="277"/>
      <c r="B572" s="277"/>
      <c r="C572" s="277"/>
      <c r="D572" s="277"/>
    </row>
    <row r="573">
      <c r="A573" s="277"/>
      <c r="B573" s="277"/>
      <c r="C573" s="277"/>
      <c r="D573" s="277"/>
    </row>
    <row r="574">
      <c r="A574" s="277"/>
      <c r="B574" s="277"/>
      <c r="C574" s="277"/>
      <c r="D574" s="277"/>
    </row>
    <row r="575">
      <c r="A575" s="277"/>
      <c r="B575" s="277"/>
      <c r="C575" s="277"/>
      <c r="D575" s="277"/>
    </row>
    <row r="576">
      <c r="A576" s="277"/>
      <c r="B576" s="277"/>
      <c r="C576" s="277"/>
      <c r="D576" s="277"/>
    </row>
    <row r="577">
      <c r="A577" s="277"/>
      <c r="B577" s="277"/>
      <c r="C577" s="277"/>
      <c r="D577" s="277"/>
    </row>
    <row r="578">
      <c r="A578" s="277"/>
      <c r="B578" s="277"/>
      <c r="C578" s="277"/>
      <c r="D578" s="277"/>
    </row>
    <row r="579">
      <c r="A579" s="277"/>
      <c r="B579" s="277"/>
      <c r="C579" s="277"/>
      <c r="D579" s="277"/>
    </row>
    <row r="580">
      <c r="A580" s="277"/>
      <c r="B580" s="277"/>
      <c r="C580" s="277"/>
      <c r="D580" s="277"/>
    </row>
    <row r="581">
      <c r="A581" s="277"/>
      <c r="B581" s="277"/>
      <c r="C581" s="277"/>
      <c r="D581" s="277"/>
    </row>
    <row r="582">
      <c r="A582" s="277"/>
      <c r="B582" s="277"/>
      <c r="C582" s="277"/>
      <c r="D582" s="277"/>
    </row>
    <row r="583">
      <c r="A583" s="277"/>
      <c r="B583" s="277"/>
      <c r="C583" s="277"/>
      <c r="D583" s="277"/>
    </row>
    <row r="584">
      <c r="A584" s="277"/>
      <c r="B584" s="277"/>
      <c r="C584" s="277"/>
      <c r="D584" s="277"/>
    </row>
    <row r="585">
      <c r="A585" s="277"/>
      <c r="B585" s="277"/>
      <c r="C585" s="277"/>
      <c r="D585" s="277"/>
    </row>
    <row r="586">
      <c r="A586" s="277"/>
      <c r="B586" s="277"/>
      <c r="C586" s="277"/>
      <c r="D586" s="277"/>
    </row>
    <row r="587">
      <c r="A587" s="277"/>
      <c r="B587" s="277"/>
      <c r="C587" s="277"/>
      <c r="D587" s="277"/>
    </row>
    <row r="588">
      <c r="A588" s="277"/>
      <c r="B588" s="277"/>
      <c r="C588" s="277"/>
      <c r="D588" s="277"/>
    </row>
    <row r="589">
      <c r="A589" s="277"/>
      <c r="B589" s="277"/>
      <c r="C589" s="277"/>
      <c r="D589" s="277"/>
    </row>
    <row r="590">
      <c r="A590" s="277"/>
      <c r="B590" s="277"/>
      <c r="C590" s="277"/>
      <c r="D590" s="277"/>
    </row>
    <row r="591">
      <c r="A591" s="277"/>
      <c r="B591" s="277"/>
      <c r="C591" s="277"/>
      <c r="D591" s="277"/>
    </row>
    <row r="592">
      <c r="A592" s="277"/>
      <c r="B592" s="277"/>
      <c r="C592" s="277"/>
      <c r="D592" s="277"/>
    </row>
    <row r="593">
      <c r="A593" s="277"/>
      <c r="B593" s="277"/>
      <c r="C593" s="277"/>
      <c r="D593" s="277"/>
    </row>
    <row r="594">
      <c r="A594" s="277"/>
      <c r="B594" s="277"/>
      <c r="C594" s="277"/>
      <c r="D594" s="277"/>
    </row>
    <row r="595">
      <c r="A595" s="277"/>
      <c r="B595" s="277"/>
      <c r="C595" s="277"/>
      <c r="D595" s="277"/>
    </row>
    <row r="596">
      <c r="A596" s="277"/>
      <c r="B596" s="277"/>
      <c r="C596" s="277"/>
      <c r="D596" s="277"/>
    </row>
    <row r="597">
      <c r="A597" s="277"/>
      <c r="B597" s="277"/>
      <c r="C597" s="277"/>
      <c r="D597" s="277"/>
    </row>
    <row r="598">
      <c r="A598" s="277"/>
      <c r="B598" s="277"/>
      <c r="C598" s="277"/>
      <c r="D598" s="277"/>
    </row>
    <row r="599">
      <c r="A599" s="277"/>
      <c r="B599" s="277"/>
      <c r="C599" s="277"/>
      <c r="D599" s="277"/>
    </row>
    <row r="600">
      <c r="A600" s="277"/>
      <c r="B600" s="277"/>
      <c r="C600" s="277"/>
      <c r="D600" s="277"/>
    </row>
    <row r="601">
      <c r="A601" s="277"/>
      <c r="B601" s="277"/>
      <c r="C601" s="277"/>
      <c r="D601" s="277"/>
    </row>
    <row r="602">
      <c r="A602" s="277"/>
      <c r="B602" s="277"/>
      <c r="C602" s="277"/>
      <c r="D602" s="277"/>
    </row>
    <row r="603">
      <c r="A603" s="277"/>
      <c r="B603" s="277"/>
      <c r="C603" s="277"/>
      <c r="D603" s="277"/>
    </row>
    <row r="604">
      <c r="A604" s="277"/>
      <c r="B604" s="277"/>
      <c r="C604" s="277"/>
      <c r="D604" s="277"/>
    </row>
    <row r="605">
      <c r="A605" s="277"/>
      <c r="B605" s="277"/>
      <c r="C605" s="277"/>
      <c r="D605" s="277"/>
    </row>
    <row r="606">
      <c r="A606" s="277"/>
      <c r="B606" s="277"/>
      <c r="C606" s="277"/>
      <c r="D606" s="277"/>
    </row>
    <row r="607">
      <c r="A607" s="277"/>
      <c r="B607" s="277"/>
      <c r="C607" s="277"/>
      <c r="D607" s="277"/>
    </row>
    <row r="608">
      <c r="A608" s="277"/>
      <c r="B608" s="277"/>
      <c r="C608" s="277"/>
      <c r="D608" s="277"/>
    </row>
    <row r="609">
      <c r="A609" s="277"/>
      <c r="B609" s="277"/>
      <c r="C609" s="277"/>
      <c r="D609" s="277"/>
    </row>
    <row r="610">
      <c r="A610" s="277"/>
      <c r="B610" s="277"/>
      <c r="C610" s="277"/>
      <c r="D610" s="277"/>
    </row>
    <row r="611">
      <c r="A611" s="277"/>
      <c r="B611" s="277"/>
      <c r="C611" s="277"/>
      <c r="D611" s="277"/>
    </row>
    <row r="612">
      <c r="A612" s="277"/>
      <c r="B612" s="277"/>
      <c r="C612" s="277"/>
      <c r="D612" s="277"/>
    </row>
    <row r="613">
      <c r="A613" s="277"/>
      <c r="B613" s="277"/>
      <c r="C613" s="277"/>
      <c r="D613" s="277"/>
    </row>
    <row r="614">
      <c r="A614" s="277"/>
      <c r="B614" s="277"/>
      <c r="C614" s="277"/>
      <c r="D614" s="277"/>
    </row>
    <row r="615">
      <c r="A615" s="277"/>
      <c r="B615" s="277"/>
      <c r="C615" s="277"/>
      <c r="D615" s="277"/>
    </row>
    <row r="616">
      <c r="A616" s="277"/>
      <c r="B616" s="277"/>
      <c r="C616" s="277"/>
      <c r="D616" s="277"/>
    </row>
    <row r="617">
      <c r="A617" s="277"/>
      <c r="B617" s="277"/>
      <c r="C617" s="277"/>
      <c r="D617" s="277"/>
    </row>
    <row r="618">
      <c r="A618" s="277"/>
      <c r="B618" s="277"/>
      <c r="C618" s="277"/>
      <c r="D618" s="277"/>
    </row>
    <row r="619">
      <c r="A619" s="277"/>
      <c r="B619" s="277"/>
      <c r="C619" s="277"/>
      <c r="D619" s="277"/>
    </row>
    <row r="620">
      <c r="A620" s="277"/>
      <c r="B620" s="277"/>
      <c r="C620" s="277"/>
      <c r="D620" s="277"/>
    </row>
    <row r="621">
      <c r="A621" s="277"/>
      <c r="B621" s="277"/>
      <c r="C621" s="277"/>
      <c r="D621" s="277"/>
    </row>
    <row r="622">
      <c r="A622" s="277"/>
      <c r="B622" s="277"/>
      <c r="C622" s="277"/>
      <c r="D622" s="277"/>
    </row>
    <row r="623">
      <c r="A623" s="277"/>
      <c r="B623" s="277"/>
      <c r="C623" s="277"/>
      <c r="D623" s="277"/>
    </row>
    <row r="624">
      <c r="A624" s="277"/>
      <c r="B624" s="277"/>
      <c r="C624" s="277"/>
      <c r="D624" s="277"/>
    </row>
    <row r="625">
      <c r="A625" s="277"/>
      <c r="B625" s="277"/>
      <c r="C625" s="277"/>
      <c r="D625" s="277"/>
    </row>
    <row r="626">
      <c r="A626" s="277"/>
      <c r="B626" s="277"/>
      <c r="C626" s="277"/>
      <c r="D626" s="277"/>
    </row>
    <row r="627">
      <c r="A627" s="277"/>
      <c r="B627" s="277"/>
      <c r="C627" s="277"/>
      <c r="D627" s="277"/>
    </row>
    <row r="628">
      <c r="A628" s="277"/>
      <c r="B628" s="277"/>
      <c r="C628" s="277"/>
      <c r="D628" s="277"/>
    </row>
    <row r="629">
      <c r="A629" s="277"/>
      <c r="B629" s="277"/>
      <c r="C629" s="277"/>
      <c r="D629" s="277"/>
    </row>
    <row r="630">
      <c r="A630" s="277"/>
      <c r="B630" s="277"/>
      <c r="C630" s="277"/>
      <c r="D630" s="277"/>
    </row>
    <row r="631">
      <c r="A631" s="277"/>
      <c r="B631" s="277"/>
      <c r="C631" s="277"/>
      <c r="D631" s="277"/>
    </row>
    <row r="632">
      <c r="A632" s="277"/>
      <c r="B632" s="277"/>
      <c r="C632" s="277"/>
      <c r="D632" s="277"/>
    </row>
    <row r="633">
      <c r="A633" s="277"/>
      <c r="B633" s="277"/>
      <c r="C633" s="277"/>
      <c r="D633" s="277"/>
    </row>
    <row r="634">
      <c r="A634" s="277"/>
      <c r="B634" s="277"/>
      <c r="C634" s="277"/>
      <c r="D634" s="277"/>
    </row>
    <row r="635">
      <c r="A635" s="277"/>
      <c r="B635" s="277"/>
      <c r="C635" s="277"/>
      <c r="D635" s="277"/>
    </row>
    <row r="636">
      <c r="A636" s="277"/>
      <c r="B636" s="277"/>
      <c r="C636" s="277"/>
      <c r="D636" s="277"/>
    </row>
    <row r="637">
      <c r="A637" s="277"/>
      <c r="B637" s="277"/>
      <c r="C637" s="277"/>
      <c r="D637" s="277"/>
    </row>
    <row r="638">
      <c r="A638" s="277"/>
      <c r="B638" s="277"/>
      <c r="C638" s="277"/>
      <c r="D638" s="277"/>
    </row>
    <row r="639">
      <c r="A639" s="277"/>
      <c r="B639" s="277"/>
      <c r="C639" s="277"/>
      <c r="D639" s="277"/>
    </row>
    <row r="640">
      <c r="A640" s="277"/>
      <c r="B640" s="277"/>
      <c r="C640" s="277"/>
      <c r="D640" s="277"/>
    </row>
    <row r="641">
      <c r="A641" s="277"/>
      <c r="B641" s="277"/>
      <c r="C641" s="277"/>
      <c r="D641" s="277"/>
    </row>
    <row r="642">
      <c r="A642" s="277"/>
      <c r="B642" s="277"/>
      <c r="C642" s="277"/>
      <c r="D642" s="277"/>
    </row>
    <row r="643">
      <c r="A643" s="277"/>
      <c r="B643" s="277"/>
      <c r="C643" s="277"/>
      <c r="D643" s="277"/>
    </row>
    <row r="644">
      <c r="A644" s="277"/>
      <c r="B644" s="277"/>
      <c r="C644" s="277"/>
      <c r="D644" s="277"/>
    </row>
    <row r="645">
      <c r="A645" s="277"/>
      <c r="B645" s="277"/>
      <c r="C645" s="277"/>
      <c r="D645" s="277"/>
    </row>
    <row r="646">
      <c r="A646" s="277"/>
      <c r="B646" s="277"/>
      <c r="C646" s="277"/>
      <c r="D646" s="277"/>
    </row>
    <row r="647">
      <c r="A647" s="277"/>
      <c r="B647" s="277"/>
      <c r="C647" s="277"/>
      <c r="D647" s="277"/>
    </row>
    <row r="648">
      <c r="A648" s="277"/>
      <c r="B648" s="277"/>
      <c r="C648" s="277"/>
      <c r="D648" s="277"/>
    </row>
    <row r="649">
      <c r="A649" s="277"/>
      <c r="B649" s="277"/>
      <c r="C649" s="277"/>
      <c r="D649" s="277"/>
    </row>
    <row r="650">
      <c r="A650" s="277"/>
      <c r="B650" s="277"/>
      <c r="C650" s="277"/>
      <c r="D650" s="277"/>
    </row>
    <row r="651">
      <c r="A651" s="277"/>
      <c r="B651" s="277"/>
      <c r="C651" s="277"/>
      <c r="D651" s="277"/>
    </row>
    <row r="652">
      <c r="A652" s="277"/>
      <c r="B652" s="277"/>
      <c r="C652" s="277"/>
      <c r="D652" s="277"/>
    </row>
    <row r="653">
      <c r="A653" s="277"/>
      <c r="B653" s="277"/>
      <c r="C653" s="277"/>
      <c r="D653" s="277"/>
    </row>
    <row r="654">
      <c r="A654" s="277"/>
      <c r="B654" s="277"/>
      <c r="C654" s="277"/>
      <c r="D654" s="277"/>
    </row>
    <row r="655">
      <c r="A655" s="277"/>
      <c r="B655" s="277"/>
      <c r="C655" s="277"/>
      <c r="D655" s="277"/>
    </row>
    <row r="656">
      <c r="A656" s="277"/>
      <c r="B656" s="277"/>
      <c r="C656" s="277"/>
      <c r="D656" s="277"/>
    </row>
    <row r="657">
      <c r="A657" s="277"/>
      <c r="B657" s="277"/>
      <c r="C657" s="277"/>
      <c r="D657" s="277"/>
    </row>
    <row r="658">
      <c r="A658" s="277"/>
      <c r="B658" s="277"/>
      <c r="C658" s="277"/>
      <c r="D658" s="277"/>
    </row>
    <row r="659">
      <c r="A659" s="277"/>
      <c r="B659" s="277"/>
      <c r="C659" s="277"/>
      <c r="D659" s="277"/>
    </row>
    <row r="660">
      <c r="A660" s="277"/>
      <c r="B660" s="277"/>
      <c r="C660" s="277"/>
      <c r="D660" s="277"/>
    </row>
    <row r="661">
      <c r="A661" s="277"/>
      <c r="B661" s="277"/>
      <c r="C661" s="277"/>
      <c r="D661" s="277"/>
    </row>
    <row r="662">
      <c r="A662" s="277"/>
      <c r="B662" s="277"/>
      <c r="C662" s="277"/>
      <c r="D662" s="277"/>
    </row>
    <row r="663">
      <c r="A663" s="277"/>
      <c r="B663" s="277"/>
      <c r="C663" s="277"/>
      <c r="D663" s="277"/>
    </row>
    <row r="664">
      <c r="A664" s="277"/>
      <c r="B664" s="277"/>
      <c r="C664" s="277"/>
      <c r="D664" s="277"/>
    </row>
    <row r="665">
      <c r="A665" s="277"/>
      <c r="B665" s="277"/>
      <c r="C665" s="277"/>
      <c r="D665" s="277"/>
    </row>
    <row r="666">
      <c r="A666" s="277"/>
      <c r="B666" s="277"/>
      <c r="C666" s="277"/>
      <c r="D666" s="277"/>
    </row>
    <row r="667">
      <c r="A667" s="277"/>
      <c r="B667" s="277"/>
      <c r="C667" s="277"/>
      <c r="D667" s="277"/>
    </row>
    <row r="668">
      <c r="A668" s="277"/>
      <c r="B668" s="277"/>
      <c r="C668" s="277"/>
      <c r="D668" s="277"/>
    </row>
    <row r="669">
      <c r="A669" s="277"/>
      <c r="B669" s="277"/>
      <c r="C669" s="277"/>
      <c r="D669" s="277"/>
    </row>
    <row r="670">
      <c r="A670" s="277"/>
      <c r="B670" s="277"/>
      <c r="C670" s="277"/>
      <c r="D670" s="277"/>
    </row>
    <row r="671">
      <c r="A671" s="277"/>
      <c r="B671" s="277"/>
      <c r="C671" s="277"/>
      <c r="D671" s="277"/>
    </row>
    <row r="672">
      <c r="A672" s="277"/>
      <c r="B672" s="277"/>
      <c r="C672" s="277"/>
      <c r="D672" s="277"/>
    </row>
    <row r="673">
      <c r="A673" s="277"/>
      <c r="B673" s="277"/>
      <c r="C673" s="277"/>
      <c r="D673" s="277"/>
    </row>
    <row r="674">
      <c r="A674" s="277"/>
      <c r="B674" s="277"/>
      <c r="C674" s="277"/>
      <c r="D674" s="277"/>
    </row>
    <row r="675">
      <c r="A675" s="277"/>
      <c r="B675" s="277"/>
      <c r="C675" s="277"/>
      <c r="D675" s="277"/>
    </row>
    <row r="676">
      <c r="A676" s="277"/>
      <c r="B676" s="277"/>
      <c r="C676" s="277"/>
      <c r="D676" s="277"/>
    </row>
    <row r="677">
      <c r="A677" s="277"/>
      <c r="B677" s="277"/>
      <c r="C677" s="277"/>
      <c r="D677" s="277"/>
    </row>
    <row r="678">
      <c r="A678" s="277"/>
      <c r="B678" s="277"/>
      <c r="C678" s="277"/>
      <c r="D678" s="277"/>
    </row>
    <row r="679">
      <c r="A679" s="277"/>
      <c r="B679" s="277"/>
      <c r="C679" s="277"/>
      <c r="D679" s="277"/>
    </row>
    <row r="680">
      <c r="A680" s="277"/>
      <c r="B680" s="277"/>
      <c r="C680" s="277"/>
      <c r="D680" s="277"/>
    </row>
    <row r="681">
      <c r="A681" s="277"/>
      <c r="B681" s="277"/>
      <c r="C681" s="277"/>
      <c r="D681" s="277"/>
    </row>
    <row r="682">
      <c r="A682" s="277"/>
      <c r="B682" s="277"/>
      <c r="C682" s="277"/>
      <c r="D682" s="277"/>
    </row>
    <row r="683">
      <c r="A683" s="277"/>
      <c r="B683" s="277"/>
      <c r="C683" s="277"/>
      <c r="D683" s="277"/>
    </row>
    <row r="684">
      <c r="A684" s="277"/>
      <c r="B684" s="277"/>
      <c r="C684" s="277"/>
      <c r="D684" s="277"/>
    </row>
    <row r="685">
      <c r="A685" s="277"/>
      <c r="B685" s="277"/>
      <c r="C685" s="277"/>
      <c r="D685" s="277"/>
    </row>
    <row r="686">
      <c r="A686" s="277"/>
      <c r="B686" s="277"/>
      <c r="C686" s="277"/>
      <c r="D686" s="277"/>
    </row>
    <row r="687">
      <c r="A687" s="277"/>
      <c r="B687" s="277"/>
      <c r="C687" s="277"/>
      <c r="D687" s="277"/>
    </row>
    <row r="688">
      <c r="A688" s="277"/>
      <c r="B688" s="277"/>
      <c r="C688" s="277"/>
      <c r="D688" s="277"/>
    </row>
    <row r="689">
      <c r="A689" s="277"/>
      <c r="B689" s="277"/>
      <c r="C689" s="277"/>
      <c r="D689" s="277"/>
    </row>
    <row r="690">
      <c r="A690" s="277"/>
      <c r="B690" s="277"/>
      <c r="C690" s="277"/>
      <c r="D690" s="277"/>
    </row>
    <row r="691">
      <c r="A691" s="277"/>
      <c r="B691" s="277"/>
      <c r="C691" s="277"/>
      <c r="D691" s="277"/>
    </row>
    <row r="692">
      <c r="A692" s="277"/>
      <c r="B692" s="277"/>
      <c r="C692" s="277"/>
      <c r="D692" s="277"/>
    </row>
    <row r="693">
      <c r="A693" s="277"/>
      <c r="B693" s="277"/>
      <c r="C693" s="277"/>
      <c r="D693" s="277"/>
    </row>
    <row r="694">
      <c r="A694" s="277"/>
      <c r="B694" s="277"/>
      <c r="C694" s="277"/>
      <c r="D694" s="277"/>
    </row>
    <row r="695">
      <c r="A695" s="277"/>
      <c r="B695" s="277"/>
      <c r="C695" s="277"/>
      <c r="D695" s="277"/>
    </row>
    <row r="696">
      <c r="A696" s="277"/>
      <c r="B696" s="277"/>
      <c r="C696" s="277"/>
      <c r="D696" s="277"/>
    </row>
    <row r="697">
      <c r="A697" s="277"/>
      <c r="B697" s="277"/>
      <c r="C697" s="277"/>
      <c r="D697" s="277"/>
    </row>
    <row r="698">
      <c r="A698" s="277"/>
      <c r="B698" s="277"/>
      <c r="C698" s="277"/>
      <c r="D698" s="277"/>
    </row>
    <row r="699">
      <c r="A699" s="277"/>
      <c r="B699" s="277"/>
      <c r="C699" s="277"/>
      <c r="D699" s="277"/>
    </row>
    <row r="700">
      <c r="A700" s="277"/>
      <c r="B700" s="277"/>
      <c r="C700" s="277"/>
      <c r="D700" s="277"/>
    </row>
    <row r="701">
      <c r="A701" s="277"/>
      <c r="B701" s="277"/>
      <c r="C701" s="277"/>
      <c r="D701" s="277"/>
    </row>
    <row r="702">
      <c r="A702" s="277"/>
      <c r="B702" s="277"/>
      <c r="C702" s="277"/>
      <c r="D702" s="277"/>
    </row>
    <row r="703">
      <c r="A703" s="277"/>
      <c r="B703" s="277"/>
      <c r="C703" s="277"/>
      <c r="D703" s="277"/>
    </row>
    <row r="704">
      <c r="A704" s="277"/>
      <c r="B704" s="277"/>
      <c r="C704" s="277"/>
      <c r="D704" s="277"/>
    </row>
    <row r="705">
      <c r="A705" s="277"/>
      <c r="B705" s="277"/>
      <c r="C705" s="277"/>
      <c r="D705" s="277"/>
    </row>
    <row r="706">
      <c r="A706" s="277"/>
      <c r="B706" s="277"/>
      <c r="C706" s="277"/>
      <c r="D706" s="277"/>
    </row>
    <row r="707">
      <c r="A707" s="277"/>
      <c r="B707" s="277"/>
      <c r="C707" s="277"/>
      <c r="D707" s="277"/>
    </row>
    <row r="708">
      <c r="A708" s="277"/>
      <c r="B708" s="277"/>
      <c r="C708" s="277"/>
      <c r="D708" s="277"/>
    </row>
    <row r="709">
      <c r="A709" s="277"/>
      <c r="B709" s="277"/>
      <c r="C709" s="277"/>
      <c r="D709" s="277"/>
    </row>
    <row r="710">
      <c r="A710" s="277"/>
      <c r="B710" s="277"/>
      <c r="C710" s="277"/>
      <c r="D710" s="277"/>
    </row>
    <row r="711">
      <c r="A711" s="277"/>
      <c r="B711" s="277"/>
      <c r="C711" s="277"/>
      <c r="D711" s="277"/>
    </row>
    <row r="712">
      <c r="A712" s="277"/>
      <c r="B712" s="277"/>
      <c r="C712" s="277"/>
      <c r="D712" s="277"/>
    </row>
    <row r="713">
      <c r="A713" s="277"/>
      <c r="B713" s="277"/>
      <c r="C713" s="277"/>
      <c r="D713" s="277"/>
    </row>
    <row r="714">
      <c r="A714" s="277"/>
      <c r="B714" s="277"/>
      <c r="C714" s="277"/>
      <c r="D714" s="277"/>
    </row>
    <row r="715">
      <c r="A715" s="277"/>
      <c r="B715" s="277"/>
      <c r="C715" s="277"/>
      <c r="D715" s="277"/>
    </row>
    <row r="716">
      <c r="A716" s="277"/>
      <c r="B716" s="277"/>
      <c r="C716" s="277"/>
      <c r="D716" s="277"/>
    </row>
    <row r="717">
      <c r="A717" s="277"/>
      <c r="B717" s="277"/>
      <c r="C717" s="277"/>
      <c r="D717" s="277"/>
    </row>
    <row r="718">
      <c r="A718" s="277"/>
      <c r="B718" s="277"/>
      <c r="C718" s="277"/>
      <c r="D718" s="277"/>
    </row>
    <row r="719">
      <c r="A719" s="277"/>
      <c r="B719" s="277"/>
      <c r="C719" s="277"/>
      <c r="D719" s="277"/>
    </row>
    <row r="720">
      <c r="A720" s="277"/>
      <c r="B720" s="277"/>
      <c r="C720" s="277"/>
      <c r="D720" s="277"/>
    </row>
    <row r="721">
      <c r="A721" s="277"/>
      <c r="B721" s="277"/>
      <c r="C721" s="277"/>
      <c r="D721" s="277"/>
    </row>
    <row r="722">
      <c r="A722" s="277"/>
      <c r="B722" s="277"/>
      <c r="C722" s="277"/>
      <c r="D722" s="277"/>
    </row>
    <row r="723">
      <c r="A723" s="277"/>
      <c r="B723" s="277"/>
      <c r="C723" s="277"/>
      <c r="D723" s="277"/>
    </row>
    <row r="724">
      <c r="A724" s="277"/>
      <c r="B724" s="277"/>
      <c r="C724" s="277"/>
      <c r="D724" s="277"/>
    </row>
    <row r="725">
      <c r="A725" s="277"/>
      <c r="B725" s="277"/>
      <c r="C725" s="277"/>
      <c r="D725" s="277"/>
    </row>
    <row r="726">
      <c r="A726" s="277"/>
      <c r="B726" s="277"/>
      <c r="C726" s="277"/>
      <c r="D726" s="277"/>
    </row>
    <row r="727">
      <c r="A727" s="277"/>
      <c r="B727" s="277"/>
      <c r="C727" s="277"/>
      <c r="D727" s="277"/>
    </row>
    <row r="728">
      <c r="A728" s="277"/>
      <c r="B728" s="277"/>
      <c r="C728" s="277"/>
      <c r="D728" s="277"/>
    </row>
    <row r="729">
      <c r="A729" s="277"/>
      <c r="B729" s="277"/>
      <c r="C729" s="277"/>
      <c r="D729" s="277"/>
    </row>
    <row r="730">
      <c r="A730" s="277"/>
      <c r="B730" s="277"/>
      <c r="C730" s="277"/>
      <c r="D730" s="277"/>
    </row>
    <row r="731">
      <c r="A731" s="277"/>
      <c r="B731" s="277"/>
      <c r="C731" s="277"/>
      <c r="D731" s="277"/>
    </row>
    <row r="732">
      <c r="A732" s="277"/>
      <c r="B732" s="277"/>
      <c r="C732" s="277"/>
      <c r="D732" s="277"/>
    </row>
    <row r="733">
      <c r="A733" s="277"/>
      <c r="B733" s="277"/>
      <c r="C733" s="277"/>
      <c r="D733" s="277"/>
    </row>
    <row r="734">
      <c r="A734" s="277"/>
      <c r="B734" s="277"/>
      <c r="C734" s="277"/>
      <c r="D734" s="277"/>
    </row>
    <row r="735">
      <c r="A735" s="277"/>
      <c r="B735" s="277"/>
      <c r="C735" s="277"/>
      <c r="D735" s="277"/>
    </row>
    <row r="736">
      <c r="A736" s="277"/>
      <c r="B736" s="277"/>
      <c r="C736" s="277"/>
      <c r="D736" s="277"/>
    </row>
    <row r="737">
      <c r="A737" s="277"/>
      <c r="B737" s="277"/>
      <c r="C737" s="277"/>
      <c r="D737" s="277"/>
    </row>
    <row r="738">
      <c r="A738" s="277"/>
      <c r="B738" s="277"/>
      <c r="C738" s="277"/>
      <c r="D738" s="277"/>
    </row>
    <row r="739">
      <c r="A739" s="277"/>
      <c r="B739" s="277"/>
      <c r="C739" s="277"/>
      <c r="D739" s="277"/>
    </row>
    <row r="740">
      <c r="A740" s="277"/>
      <c r="B740" s="277"/>
      <c r="C740" s="277"/>
      <c r="D740" s="277"/>
    </row>
    <row r="741">
      <c r="A741" s="277"/>
      <c r="B741" s="277"/>
      <c r="C741" s="277"/>
      <c r="D741" s="277"/>
    </row>
    <row r="742">
      <c r="A742" s="277"/>
      <c r="B742" s="277"/>
      <c r="C742" s="277"/>
      <c r="D742" s="277"/>
    </row>
    <row r="743">
      <c r="A743" s="277"/>
      <c r="B743" s="277"/>
      <c r="C743" s="277"/>
      <c r="D743" s="277"/>
    </row>
    <row r="744">
      <c r="A744" s="277"/>
      <c r="B744" s="277"/>
      <c r="C744" s="277"/>
      <c r="D744" s="277"/>
    </row>
    <row r="745">
      <c r="A745" s="277"/>
      <c r="B745" s="277"/>
      <c r="C745" s="277"/>
      <c r="D745" s="277"/>
    </row>
    <row r="746">
      <c r="A746" s="277"/>
      <c r="B746" s="277"/>
      <c r="C746" s="277"/>
      <c r="D746" s="277"/>
    </row>
    <row r="747">
      <c r="A747" s="277"/>
      <c r="B747" s="277"/>
      <c r="C747" s="277"/>
      <c r="D747" s="277"/>
    </row>
    <row r="748">
      <c r="A748" s="277"/>
      <c r="B748" s="277"/>
      <c r="C748" s="277"/>
      <c r="D748" s="277"/>
    </row>
    <row r="749">
      <c r="A749" s="277"/>
      <c r="B749" s="277"/>
      <c r="C749" s="277"/>
      <c r="D749" s="277"/>
    </row>
    <row r="750">
      <c r="A750" s="277"/>
      <c r="B750" s="277"/>
      <c r="C750" s="277"/>
      <c r="D750" s="277"/>
    </row>
    <row r="751">
      <c r="A751" s="277"/>
      <c r="B751" s="277"/>
      <c r="C751" s="277"/>
      <c r="D751" s="277"/>
    </row>
    <row r="752">
      <c r="A752" s="277"/>
      <c r="B752" s="277"/>
      <c r="C752" s="277"/>
      <c r="D752" s="277"/>
    </row>
    <row r="753">
      <c r="A753" s="277"/>
      <c r="B753" s="277"/>
      <c r="C753" s="277"/>
      <c r="D753" s="277"/>
    </row>
    <row r="754">
      <c r="A754" s="277"/>
      <c r="B754" s="277"/>
      <c r="C754" s="277"/>
      <c r="D754" s="277"/>
    </row>
    <row r="755">
      <c r="A755" s="277"/>
      <c r="B755" s="277"/>
      <c r="C755" s="277"/>
      <c r="D755" s="277"/>
    </row>
    <row r="756">
      <c r="A756" s="277"/>
      <c r="B756" s="277"/>
      <c r="C756" s="277"/>
      <c r="D756" s="277"/>
    </row>
    <row r="757">
      <c r="A757" s="277"/>
      <c r="B757" s="277"/>
      <c r="C757" s="277"/>
      <c r="D757" s="277"/>
    </row>
    <row r="758">
      <c r="A758" s="277"/>
      <c r="B758" s="277"/>
      <c r="C758" s="277"/>
      <c r="D758" s="277"/>
    </row>
    <row r="759">
      <c r="A759" s="277"/>
      <c r="B759" s="277"/>
      <c r="C759" s="277"/>
      <c r="D759" s="277"/>
    </row>
    <row r="760">
      <c r="A760" s="277"/>
      <c r="B760" s="277"/>
      <c r="C760" s="277"/>
      <c r="D760" s="277"/>
    </row>
    <row r="761">
      <c r="A761" s="277"/>
      <c r="B761" s="277"/>
      <c r="C761" s="277"/>
      <c r="D761" s="277"/>
    </row>
    <row r="762">
      <c r="A762" s="277"/>
      <c r="B762" s="277"/>
      <c r="C762" s="277"/>
      <c r="D762" s="277"/>
    </row>
    <row r="763">
      <c r="A763" s="277"/>
      <c r="B763" s="277"/>
      <c r="C763" s="277"/>
      <c r="D763" s="277"/>
    </row>
    <row r="764">
      <c r="A764" s="277"/>
      <c r="B764" s="277"/>
      <c r="C764" s="277"/>
      <c r="D764" s="277"/>
    </row>
    <row r="765">
      <c r="A765" s="277"/>
      <c r="B765" s="277"/>
      <c r="C765" s="277"/>
      <c r="D765" s="277"/>
    </row>
    <row r="766">
      <c r="A766" s="277"/>
      <c r="B766" s="277"/>
      <c r="C766" s="277"/>
      <c r="D766" s="277"/>
    </row>
    <row r="767">
      <c r="A767" s="277"/>
      <c r="B767" s="277"/>
      <c r="C767" s="277"/>
      <c r="D767" s="277"/>
    </row>
    <row r="768">
      <c r="A768" s="277"/>
      <c r="B768" s="277"/>
      <c r="C768" s="277"/>
      <c r="D768" s="277"/>
    </row>
    <row r="769">
      <c r="A769" s="277"/>
      <c r="B769" s="277"/>
      <c r="C769" s="277"/>
      <c r="D769" s="277"/>
    </row>
    <row r="770">
      <c r="A770" s="277"/>
      <c r="B770" s="277"/>
      <c r="C770" s="277"/>
      <c r="D770" s="277"/>
    </row>
    <row r="771">
      <c r="A771" s="277"/>
      <c r="B771" s="277"/>
      <c r="C771" s="277"/>
      <c r="D771" s="277"/>
    </row>
    <row r="772">
      <c r="A772" s="277"/>
      <c r="B772" s="277"/>
      <c r="C772" s="277"/>
      <c r="D772" s="277"/>
    </row>
    <row r="773">
      <c r="A773" s="277"/>
      <c r="B773" s="277"/>
      <c r="C773" s="277"/>
      <c r="D773" s="277"/>
    </row>
    <row r="774">
      <c r="A774" s="277"/>
      <c r="B774" s="277"/>
      <c r="C774" s="277"/>
      <c r="D774" s="277"/>
    </row>
    <row r="775">
      <c r="A775" s="277"/>
      <c r="B775" s="277"/>
      <c r="C775" s="277"/>
      <c r="D775" s="277"/>
    </row>
    <row r="776">
      <c r="A776" s="277"/>
      <c r="B776" s="277"/>
      <c r="C776" s="277"/>
      <c r="D776" s="277"/>
    </row>
    <row r="777">
      <c r="A777" s="277"/>
      <c r="B777" s="277"/>
      <c r="C777" s="277"/>
      <c r="D777" s="277"/>
    </row>
    <row r="778">
      <c r="A778" s="277"/>
      <c r="B778" s="277"/>
      <c r="C778" s="277"/>
      <c r="D778" s="277"/>
    </row>
    <row r="779">
      <c r="A779" s="277"/>
      <c r="B779" s="277"/>
      <c r="C779" s="277"/>
      <c r="D779" s="277"/>
    </row>
    <row r="780">
      <c r="A780" s="277"/>
      <c r="B780" s="277"/>
      <c r="C780" s="277"/>
      <c r="D780" s="277"/>
    </row>
    <row r="781">
      <c r="A781" s="277"/>
      <c r="B781" s="277"/>
      <c r="C781" s="277"/>
      <c r="D781" s="277"/>
    </row>
    <row r="782">
      <c r="A782" s="277"/>
      <c r="B782" s="277"/>
      <c r="C782" s="277"/>
      <c r="D782" s="277"/>
    </row>
    <row r="783">
      <c r="A783" s="277"/>
      <c r="B783" s="277"/>
      <c r="C783" s="277"/>
      <c r="D783" s="277"/>
    </row>
    <row r="784">
      <c r="A784" s="277"/>
      <c r="B784" s="277"/>
      <c r="C784" s="277"/>
      <c r="D784" s="277"/>
    </row>
    <row r="785">
      <c r="A785" s="277"/>
      <c r="B785" s="277"/>
      <c r="C785" s="277"/>
      <c r="D785" s="277"/>
    </row>
    <row r="786">
      <c r="A786" s="277"/>
      <c r="B786" s="277"/>
      <c r="C786" s="277"/>
      <c r="D786" s="277"/>
    </row>
    <row r="787">
      <c r="A787" s="277"/>
      <c r="B787" s="277"/>
      <c r="C787" s="277"/>
      <c r="D787" s="277"/>
    </row>
    <row r="788">
      <c r="A788" s="277"/>
      <c r="B788" s="277"/>
      <c r="C788" s="277"/>
      <c r="D788" s="277"/>
    </row>
    <row r="789">
      <c r="A789" s="277"/>
      <c r="B789" s="277"/>
      <c r="C789" s="277"/>
      <c r="D789" s="277"/>
    </row>
    <row r="790">
      <c r="A790" s="277"/>
      <c r="B790" s="277"/>
      <c r="C790" s="277"/>
      <c r="D790" s="277"/>
    </row>
    <row r="791">
      <c r="A791" s="277"/>
      <c r="B791" s="277"/>
      <c r="C791" s="277"/>
      <c r="D791" s="277"/>
    </row>
    <row r="792">
      <c r="A792" s="277"/>
      <c r="B792" s="277"/>
      <c r="C792" s="277"/>
      <c r="D792" s="277"/>
    </row>
    <row r="793">
      <c r="A793" s="277"/>
      <c r="B793" s="277"/>
      <c r="C793" s="277"/>
      <c r="D793" s="277"/>
    </row>
    <row r="794">
      <c r="A794" s="277"/>
      <c r="B794" s="277"/>
      <c r="C794" s="277"/>
      <c r="D794" s="277"/>
    </row>
    <row r="795">
      <c r="A795" s="277"/>
      <c r="B795" s="277"/>
      <c r="C795" s="277"/>
      <c r="D795" s="277"/>
    </row>
    <row r="796">
      <c r="A796" s="277"/>
      <c r="B796" s="277"/>
      <c r="C796" s="277"/>
      <c r="D796" s="277"/>
    </row>
    <row r="797">
      <c r="A797" s="277"/>
      <c r="B797" s="277"/>
      <c r="C797" s="277"/>
      <c r="D797" s="277"/>
    </row>
    <row r="798">
      <c r="A798" s="277"/>
      <c r="B798" s="277"/>
      <c r="C798" s="277"/>
      <c r="D798" s="277"/>
    </row>
    <row r="799">
      <c r="A799" s="277"/>
      <c r="B799" s="277"/>
      <c r="C799" s="277"/>
      <c r="D799" s="277"/>
    </row>
    <row r="800">
      <c r="A800" s="277"/>
      <c r="B800" s="277"/>
      <c r="C800" s="277"/>
      <c r="D800" s="277"/>
    </row>
    <row r="801">
      <c r="A801" s="277"/>
      <c r="B801" s="277"/>
      <c r="C801" s="277"/>
      <c r="D801" s="277"/>
    </row>
    <row r="802">
      <c r="A802" s="277"/>
      <c r="B802" s="277"/>
      <c r="C802" s="277"/>
      <c r="D802" s="277"/>
    </row>
    <row r="803">
      <c r="A803" s="277"/>
      <c r="B803" s="277"/>
      <c r="C803" s="277"/>
      <c r="D803" s="277"/>
    </row>
    <row r="804">
      <c r="A804" s="277"/>
      <c r="B804" s="277"/>
      <c r="C804" s="277"/>
      <c r="D804" s="277"/>
    </row>
    <row r="805">
      <c r="A805" s="277"/>
      <c r="B805" s="277"/>
      <c r="C805" s="277"/>
      <c r="D805" s="277"/>
    </row>
    <row r="806">
      <c r="A806" s="277"/>
      <c r="B806" s="277"/>
      <c r="C806" s="277"/>
      <c r="D806" s="277"/>
    </row>
    <row r="807">
      <c r="A807" s="277"/>
      <c r="B807" s="277"/>
      <c r="C807" s="277"/>
      <c r="D807" s="277"/>
    </row>
    <row r="808">
      <c r="A808" s="277"/>
      <c r="B808" s="277"/>
      <c r="C808" s="277"/>
      <c r="D808" s="277"/>
    </row>
    <row r="809">
      <c r="A809" s="277"/>
      <c r="B809" s="277"/>
      <c r="C809" s="277"/>
      <c r="D809" s="277"/>
    </row>
    <row r="810">
      <c r="A810" s="277"/>
      <c r="B810" s="277"/>
      <c r="C810" s="277"/>
      <c r="D810" s="277"/>
    </row>
    <row r="811">
      <c r="A811" s="277"/>
      <c r="B811" s="277"/>
      <c r="C811" s="277"/>
      <c r="D811" s="277"/>
    </row>
    <row r="812">
      <c r="A812" s="277"/>
      <c r="B812" s="277"/>
      <c r="C812" s="277"/>
      <c r="D812" s="277"/>
    </row>
    <row r="813">
      <c r="A813" s="277"/>
      <c r="B813" s="277"/>
      <c r="C813" s="277"/>
      <c r="D813" s="277"/>
    </row>
    <row r="814">
      <c r="A814" s="277"/>
      <c r="B814" s="277"/>
      <c r="C814" s="277"/>
      <c r="D814" s="277"/>
    </row>
    <row r="815">
      <c r="A815" s="277"/>
      <c r="B815" s="277"/>
      <c r="C815" s="277"/>
      <c r="D815" s="277"/>
    </row>
    <row r="816">
      <c r="A816" s="277"/>
      <c r="B816" s="277"/>
      <c r="C816" s="277"/>
      <c r="D816" s="277"/>
    </row>
    <row r="817">
      <c r="A817" s="277"/>
      <c r="B817" s="277"/>
      <c r="C817" s="277"/>
      <c r="D817" s="277"/>
    </row>
    <row r="818">
      <c r="A818" s="277"/>
      <c r="B818" s="277"/>
      <c r="C818" s="277"/>
      <c r="D818" s="277"/>
    </row>
    <row r="819">
      <c r="A819" s="277"/>
      <c r="B819" s="277"/>
      <c r="C819" s="277"/>
      <c r="D819" s="277"/>
    </row>
    <row r="820">
      <c r="A820" s="277"/>
      <c r="B820" s="277"/>
      <c r="C820" s="277"/>
      <c r="D820" s="277"/>
    </row>
    <row r="821">
      <c r="A821" s="277"/>
      <c r="B821" s="277"/>
      <c r="C821" s="277"/>
      <c r="D821" s="277"/>
    </row>
    <row r="822">
      <c r="A822" s="277"/>
      <c r="B822" s="277"/>
      <c r="C822" s="277"/>
      <c r="D822" s="277"/>
    </row>
    <row r="823">
      <c r="A823" s="277"/>
      <c r="B823" s="277"/>
      <c r="C823" s="277"/>
      <c r="D823" s="277"/>
    </row>
    <row r="824">
      <c r="A824" s="277"/>
      <c r="B824" s="277"/>
      <c r="C824" s="277"/>
      <c r="D824" s="277"/>
    </row>
    <row r="825">
      <c r="A825" s="277"/>
      <c r="B825" s="277"/>
      <c r="C825" s="277"/>
      <c r="D825" s="277"/>
    </row>
    <row r="826">
      <c r="A826" s="277"/>
      <c r="B826" s="277"/>
      <c r="C826" s="277"/>
      <c r="D826" s="277"/>
    </row>
    <row r="827">
      <c r="A827" s="277"/>
      <c r="B827" s="277"/>
      <c r="C827" s="277"/>
      <c r="D827" s="277"/>
    </row>
    <row r="828">
      <c r="A828" s="277"/>
      <c r="B828" s="277"/>
      <c r="C828" s="277"/>
      <c r="D828" s="277"/>
    </row>
    <row r="829">
      <c r="A829" s="277"/>
      <c r="B829" s="277"/>
      <c r="C829" s="277"/>
      <c r="D829" s="277"/>
    </row>
    <row r="830">
      <c r="A830" s="277"/>
      <c r="B830" s="277"/>
      <c r="C830" s="277"/>
      <c r="D830" s="277"/>
    </row>
    <row r="831">
      <c r="A831" s="277"/>
      <c r="B831" s="277"/>
      <c r="C831" s="277"/>
      <c r="D831" s="277"/>
    </row>
    <row r="832">
      <c r="A832" s="277"/>
      <c r="B832" s="277"/>
      <c r="C832" s="277"/>
      <c r="D832" s="277"/>
    </row>
    <row r="833">
      <c r="A833" s="277"/>
      <c r="B833" s="277"/>
      <c r="C833" s="277"/>
      <c r="D833" s="277"/>
    </row>
    <row r="834">
      <c r="A834" s="277"/>
      <c r="B834" s="277"/>
      <c r="C834" s="277"/>
      <c r="D834" s="277"/>
    </row>
    <row r="835">
      <c r="A835" s="277"/>
      <c r="B835" s="277"/>
      <c r="C835" s="277"/>
      <c r="D835" s="277"/>
    </row>
    <row r="836">
      <c r="A836" s="277"/>
      <c r="B836" s="277"/>
      <c r="C836" s="277"/>
      <c r="D836" s="277"/>
    </row>
    <row r="837">
      <c r="A837" s="277"/>
      <c r="B837" s="277"/>
      <c r="C837" s="277"/>
      <c r="D837" s="277"/>
    </row>
    <row r="838">
      <c r="A838" s="277"/>
      <c r="B838" s="277"/>
      <c r="C838" s="277"/>
      <c r="D838" s="277"/>
    </row>
    <row r="839">
      <c r="A839" s="277"/>
      <c r="B839" s="277"/>
      <c r="C839" s="277"/>
      <c r="D839" s="277"/>
    </row>
    <row r="840">
      <c r="A840" s="277"/>
      <c r="B840" s="277"/>
      <c r="C840" s="277"/>
      <c r="D840" s="277"/>
    </row>
    <row r="841">
      <c r="A841" s="277"/>
      <c r="B841" s="277"/>
      <c r="C841" s="277"/>
      <c r="D841" s="277"/>
    </row>
    <row r="842">
      <c r="A842" s="277"/>
      <c r="B842" s="277"/>
      <c r="C842" s="277"/>
      <c r="D842" s="277"/>
    </row>
    <row r="843">
      <c r="A843" s="277"/>
      <c r="B843" s="277"/>
      <c r="C843" s="277"/>
      <c r="D843" s="277"/>
    </row>
    <row r="844">
      <c r="A844" s="277"/>
      <c r="B844" s="277"/>
      <c r="C844" s="277"/>
      <c r="D844" s="277"/>
    </row>
    <row r="845">
      <c r="A845" s="277"/>
      <c r="B845" s="277"/>
      <c r="C845" s="277"/>
      <c r="D845" s="277"/>
    </row>
    <row r="846">
      <c r="A846" s="277"/>
      <c r="B846" s="277"/>
      <c r="C846" s="277"/>
      <c r="D846" s="277"/>
    </row>
    <row r="847">
      <c r="A847" s="277"/>
      <c r="B847" s="277"/>
      <c r="C847" s="277"/>
      <c r="D847" s="277"/>
    </row>
    <row r="848">
      <c r="A848" s="277"/>
      <c r="B848" s="277"/>
      <c r="C848" s="277"/>
      <c r="D848" s="277"/>
    </row>
    <row r="849">
      <c r="A849" s="277"/>
      <c r="B849" s="277"/>
      <c r="C849" s="277"/>
      <c r="D849" s="277"/>
    </row>
    <row r="850">
      <c r="A850" s="277"/>
      <c r="B850" s="277"/>
      <c r="C850" s="277"/>
      <c r="D850" s="277"/>
    </row>
    <row r="851">
      <c r="A851" s="277"/>
      <c r="B851" s="277"/>
      <c r="C851" s="277"/>
      <c r="D851" s="277"/>
    </row>
    <row r="852">
      <c r="A852" s="277"/>
      <c r="B852" s="277"/>
      <c r="C852" s="277"/>
      <c r="D852" s="277"/>
    </row>
    <row r="853">
      <c r="A853" s="277"/>
      <c r="B853" s="277"/>
      <c r="C853" s="277"/>
      <c r="D853" s="277"/>
    </row>
    <row r="854">
      <c r="A854" s="277"/>
      <c r="B854" s="277"/>
      <c r="C854" s="277"/>
      <c r="D854" s="277"/>
    </row>
    <row r="855">
      <c r="A855" s="277"/>
      <c r="B855" s="277"/>
      <c r="C855" s="277"/>
      <c r="D855" s="277"/>
    </row>
    <row r="856">
      <c r="A856" s="277"/>
      <c r="B856" s="277"/>
      <c r="C856" s="277"/>
      <c r="D856" s="277"/>
    </row>
    <row r="857">
      <c r="A857" s="277"/>
      <c r="B857" s="277"/>
      <c r="C857" s="277"/>
      <c r="D857" s="277"/>
    </row>
    <row r="858">
      <c r="A858" s="277"/>
      <c r="B858" s="277"/>
      <c r="C858" s="277"/>
      <c r="D858" s="277"/>
    </row>
    <row r="859">
      <c r="A859" s="277"/>
      <c r="B859" s="277"/>
      <c r="C859" s="277"/>
      <c r="D859" s="277"/>
    </row>
    <row r="860">
      <c r="A860" s="277"/>
      <c r="B860" s="277"/>
      <c r="C860" s="277"/>
      <c r="D860" s="277"/>
    </row>
    <row r="861">
      <c r="A861" s="277"/>
      <c r="B861" s="277"/>
      <c r="C861" s="277"/>
      <c r="D861" s="277"/>
    </row>
    <row r="862">
      <c r="A862" s="277"/>
      <c r="B862" s="277"/>
      <c r="C862" s="277"/>
      <c r="D862" s="277"/>
    </row>
    <row r="863">
      <c r="A863" s="277"/>
      <c r="B863" s="277"/>
      <c r="C863" s="277"/>
      <c r="D863" s="277"/>
    </row>
    <row r="864">
      <c r="A864" s="277"/>
      <c r="B864" s="277"/>
      <c r="C864" s="277"/>
      <c r="D864" s="277"/>
    </row>
    <row r="865">
      <c r="A865" s="277"/>
      <c r="B865" s="277"/>
      <c r="C865" s="277"/>
      <c r="D865" s="277"/>
    </row>
    <row r="866">
      <c r="A866" s="277"/>
      <c r="B866" s="277"/>
      <c r="C866" s="277"/>
      <c r="D866" s="277"/>
    </row>
    <row r="867">
      <c r="A867" s="277"/>
      <c r="B867" s="277"/>
      <c r="C867" s="277"/>
      <c r="D867" s="277"/>
    </row>
    <row r="868">
      <c r="A868" s="277"/>
      <c r="B868" s="277"/>
      <c r="C868" s="277"/>
      <c r="D868" s="277"/>
    </row>
    <row r="869">
      <c r="A869" s="277"/>
      <c r="B869" s="277"/>
      <c r="C869" s="277"/>
      <c r="D869" s="277"/>
    </row>
    <row r="870">
      <c r="A870" s="277"/>
      <c r="B870" s="277"/>
      <c r="C870" s="277"/>
      <c r="D870" s="277"/>
    </row>
    <row r="871">
      <c r="A871" s="277"/>
      <c r="B871" s="277"/>
      <c r="C871" s="277"/>
      <c r="D871" s="277"/>
    </row>
    <row r="872">
      <c r="A872" s="277"/>
      <c r="B872" s="277"/>
      <c r="C872" s="277"/>
      <c r="D872" s="277"/>
    </row>
    <row r="873">
      <c r="A873" s="277"/>
      <c r="B873" s="277"/>
      <c r="C873" s="277"/>
      <c r="D873" s="277"/>
    </row>
    <row r="874">
      <c r="A874" s="277"/>
      <c r="B874" s="277"/>
      <c r="C874" s="277"/>
      <c r="D874" s="277"/>
    </row>
    <row r="875">
      <c r="A875" s="277"/>
      <c r="B875" s="277"/>
      <c r="C875" s="277"/>
      <c r="D875" s="277"/>
    </row>
    <row r="876">
      <c r="A876" s="277"/>
      <c r="B876" s="277"/>
      <c r="C876" s="277"/>
      <c r="D876" s="277"/>
    </row>
    <row r="877">
      <c r="A877" s="277"/>
      <c r="B877" s="277"/>
      <c r="C877" s="277"/>
      <c r="D877" s="277"/>
    </row>
    <row r="878">
      <c r="A878" s="277"/>
      <c r="B878" s="277"/>
      <c r="C878" s="277"/>
      <c r="D878" s="277"/>
    </row>
    <row r="879">
      <c r="A879" s="277"/>
      <c r="B879" s="277"/>
      <c r="C879" s="277"/>
      <c r="D879" s="277"/>
    </row>
    <row r="880">
      <c r="A880" s="277"/>
      <c r="B880" s="277"/>
      <c r="C880" s="277"/>
      <c r="D880" s="277"/>
    </row>
    <row r="881">
      <c r="A881" s="277"/>
      <c r="B881" s="277"/>
      <c r="C881" s="277"/>
      <c r="D881" s="277"/>
    </row>
    <row r="882">
      <c r="A882" s="277"/>
      <c r="B882" s="277"/>
      <c r="C882" s="277"/>
      <c r="D882" s="277"/>
    </row>
    <row r="883">
      <c r="A883" s="277"/>
      <c r="B883" s="277"/>
      <c r="C883" s="277"/>
      <c r="D883" s="277"/>
    </row>
    <row r="884">
      <c r="A884" s="277"/>
      <c r="B884" s="277"/>
      <c r="C884" s="277"/>
      <c r="D884" s="277"/>
    </row>
    <row r="885">
      <c r="A885" s="277"/>
      <c r="B885" s="277"/>
      <c r="C885" s="277"/>
      <c r="D885" s="277"/>
    </row>
    <row r="886">
      <c r="A886" s="277"/>
      <c r="B886" s="277"/>
      <c r="C886" s="277"/>
      <c r="D886" s="277"/>
    </row>
    <row r="887">
      <c r="A887" s="277"/>
      <c r="B887" s="277"/>
      <c r="C887" s="277"/>
      <c r="D887" s="277"/>
    </row>
    <row r="888">
      <c r="A888" s="277"/>
      <c r="B888" s="277"/>
      <c r="C888" s="277"/>
      <c r="D888" s="277"/>
    </row>
    <row r="889">
      <c r="A889" s="277"/>
      <c r="B889" s="277"/>
      <c r="C889" s="277"/>
      <c r="D889" s="277"/>
    </row>
    <row r="890">
      <c r="A890" s="277"/>
      <c r="B890" s="277"/>
      <c r="C890" s="277"/>
      <c r="D890" s="277"/>
    </row>
    <row r="891">
      <c r="A891" s="277"/>
      <c r="B891" s="277"/>
      <c r="C891" s="277"/>
      <c r="D891" s="277"/>
    </row>
    <row r="892">
      <c r="A892" s="277"/>
      <c r="B892" s="277"/>
      <c r="C892" s="277"/>
      <c r="D892" s="277"/>
    </row>
    <row r="893">
      <c r="A893" s="277"/>
      <c r="B893" s="277"/>
      <c r="C893" s="277"/>
      <c r="D893" s="277"/>
    </row>
    <row r="894">
      <c r="A894" s="277"/>
      <c r="B894" s="277"/>
      <c r="C894" s="277"/>
      <c r="D894" s="277"/>
    </row>
    <row r="895">
      <c r="A895" s="277"/>
      <c r="B895" s="277"/>
      <c r="C895" s="277"/>
      <c r="D895" s="277"/>
    </row>
    <row r="896">
      <c r="A896" s="277"/>
      <c r="B896" s="277"/>
      <c r="C896" s="277"/>
      <c r="D896" s="277"/>
    </row>
    <row r="897">
      <c r="A897" s="277"/>
      <c r="B897" s="277"/>
      <c r="C897" s="277"/>
      <c r="D897" s="277"/>
    </row>
    <row r="898">
      <c r="A898" s="277"/>
      <c r="B898" s="277"/>
      <c r="C898" s="277"/>
      <c r="D898" s="277"/>
    </row>
    <row r="899">
      <c r="A899" s="277"/>
      <c r="B899" s="277"/>
      <c r="C899" s="277"/>
      <c r="D899" s="277"/>
    </row>
    <row r="900">
      <c r="A900" s="277"/>
      <c r="B900" s="277"/>
      <c r="C900" s="277"/>
      <c r="D900" s="277"/>
    </row>
    <row r="901">
      <c r="A901" s="277"/>
      <c r="B901" s="277"/>
      <c r="C901" s="277"/>
      <c r="D901" s="277"/>
    </row>
    <row r="902">
      <c r="A902" s="277"/>
      <c r="B902" s="277"/>
      <c r="C902" s="277"/>
      <c r="D902" s="277"/>
    </row>
    <row r="903">
      <c r="A903" s="277"/>
      <c r="B903" s="277"/>
      <c r="C903" s="277"/>
      <c r="D903" s="277"/>
    </row>
    <row r="904">
      <c r="A904" s="277"/>
      <c r="B904" s="277"/>
      <c r="C904" s="277"/>
      <c r="D904" s="277"/>
    </row>
    <row r="905">
      <c r="A905" s="277"/>
      <c r="B905" s="277"/>
      <c r="C905" s="277"/>
      <c r="D905" s="277"/>
    </row>
    <row r="906">
      <c r="A906" s="277"/>
      <c r="B906" s="277"/>
      <c r="C906" s="277"/>
      <c r="D906" s="277"/>
    </row>
    <row r="907">
      <c r="A907" s="277"/>
      <c r="B907" s="277"/>
      <c r="C907" s="277"/>
      <c r="D907" s="277"/>
    </row>
    <row r="908">
      <c r="A908" s="277"/>
      <c r="B908" s="277"/>
      <c r="C908" s="277"/>
      <c r="D908" s="277"/>
    </row>
    <row r="909">
      <c r="A909" s="277"/>
      <c r="B909" s="277"/>
      <c r="C909" s="277"/>
      <c r="D909" s="277"/>
    </row>
    <row r="910">
      <c r="A910" s="277"/>
      <c r="B910" s="277"/>
      <c r="C910" s="277"/>
      <c r="D910" s="277"/>
    </row>
    <row r="911">
      <c r="A911" s="277"/>
      <c r="B911" s="277"/>
      <c r="C911" s="277"/>
      <c r="D911" s="277"/>
    </row>
    <row r="912">
      <c r="A912" s="277"/>
      <c r="B912" s="277"/>
      <c r="C912" s="277"/>
      <c r="D912" s="277"/>
    </row>
    <row r="913">
      <c r="A913" s="277"/>
      <c r="B913" s="277"/>
      <c r="C913" s="277"/>
      <c r="D913" s="277"/>
    </row>
    <row r="914">
      <c r="A914" s="277"/>
      <c r="B914" s="277"/>
      <c r="C914" s="277"/>
      <c r="D914" s="277"/>
    </row>
    <row r="915">
      <c r="A915" s="277"/>
      <c r="B915" s="277"/>
      <c r="C915" s="277"/>
      <c r="D915" s="277"/>
    </row>
    <row r="916">
      <c r="A916" s="277"/>
      <c r="B916" s="277"/>
      <c r="C916" s="277"/>
      <c r="D916" s="277"/>
    </row>
    <row r="917">
      <c r="A917" s="277"/>
      <c r="B917" s="277"/>
      <c r="C917" s="277"/>
      <c r="D917" s="277"/>
    </row>
    <row r="918">
      <c r="A918" s="277"/>
      <c r="B918" s="277"/>
      <c r="C918" s="277"/>
      <c r="D918" s="277"/>
    </row>
    <row r="919">
      <c r="A919" s="277"/>
      <c r="B919" s="277"/>
      <c r="C919" s="277"/>
      <c r="D919" s="277"/>
    </row>
    <row r="920">
      <c r="A920" s="277"/>
      <c r="B920" s="277"/>
      <c r="C920" s="277"/>
      <c r="D920" s="277"/>
    </row>
    <row r="921">
      <c r="A921" s="277"/>
      <c r="B921" s="277"/>
      <c r="C921" s="277"/>
      <c r="D921" s="277"/>
    </row>
    <row r="922">
      <c r="A922" s="277"/>
      <c r="B922" s="277"/>
      <c r="C922" s="277"/>
      <c r="D922" s="277"/>
    </row>
    <row r="923">
      <c r="A923" s="277"/>
      <c r="B923" s="277"/>
      <c r="C923" s="277"/>
      <c r="D923" s="277"/>
    </row>
    <row r="924">
      <c r="A924" s="277"/>
      <c r="B924" s="277"/>
      <c r="C924" s="277"/>
      <c r="D924" s="277"/>
    </row>
    <row r="925">
      <c r="A925" s="277"/>
      <c r="B925" s="277"/>
      <c r="C925" s="277"/>
      <c r="D925" s="277"/>
    </row>
    <row r="926">
      <c r="A926" s="277"/>
      <c r="B926" s="277"/>
      <c r="C926" s="277"/>
      <c r="D926" s="277"/>
    </row>
    <row r="927">
      <c r="A927" s="277"/>
      <c r="B927" s="277"/>
      <c r="C927" s="277"/>
      <c r="D927" s="277"/>
    </row>
    <row r="928">
      <c r="A928" s="277"/>
      <c r="B928" s="277"/>
      <c r="C928" s="277"/>
      <c r="D928" s="277"/>
    </row>
    <row r="929">
      <c r="A929" s="277"/>
      <c r="B929" s="277"/>
      <c r="C929" s="277"/>
      <c r="D929" s="277"/>
    </row>
    <row r="930">
      <c r="A930" s="277"/>
      <c r="B930" s="277"/>
      <c r="C930" s="277"/>
      <c r="D930" s="277"/>
    </row>
    <row r="931">
      <c r="A931" s="277"/>
      <c r="B931" s="277"/>
      <c r="C931" s="277"/>
      <c r="D931" s="277"/>
    </row>
    <row r="932">
      <c r="A932" s="277"/>
      <c r="B932" s="277"/>
      <c r="C932" s="277"/>
      <c r="D932" s="277"/>
    </row>
    <row r="933">
      <c r="A933" s="277"/>
      <c r="B933" s="277"/>
      <c r="C933" s="277"/>
      <c r="D933" s="277"/>
    </row>
    <row r="934">
      <c r="A934" s="277"/>
      <c r="B934" s="277"/>
      <c r="C934" s="277"/>
      <c r="D934" s="277"/>
    </row>
    <row r="935">
      <c r="A935" s="277"/>
      <c r="B935" s="277"/>
      <c r="C935" s="277"/>
      <c r="D935" s="277"/>
    </row>
    <row r="936">
      <c r="A936" s="277"/>
      <c r="B936" s="277"/>
      <c r="C936" s="277"/>
      <c r="D936" s="277"/>
    </row>
    <row r="937">
      <c r="A937" s="277"/>
      <c r="B937" s="277"/>
      <c r="C937" s="277"/>
      <c r="D937" s="277"/>
    </row>
    <row r="938">
      <c r="A938" s="277"/>
      <c r="B938" s="277"/>
      <c r="C938" s="277"/>
      <c r="D938" s="277"/>
    </row>
    <row r="939">
      <c r="A939" s="277"/>
      <c r="B939" s="277"/>
      <c r="C939" s="277"/>
      <c r="D939" s="277"/>
    </row>
    <row r="940">
      <c r="A940" s="277"/>
      <c r="B940" s="277"/>
      <c r="C940" s="277"/>
      <c r="D940" s="277"/>
    </row>
    <row r="941">
      <c r="A941" s="277"/>
      <c r="B941" s="277"/>
      <c r="C941" s="277"/>
      <c r="D941" s="277"/>
    </row>
    <row r="942">
      <c r="A942" s="277"/>
      <c r="B942" s="277"/>
      <c r="C942" s="277"/>
      <c r="D942" s="277"/>
    </row>
    <row r="943">
      <c r="A943" s="277"/>
      <c r="B943" s="277"/>
      <c r="C943" s="277"/>
      <c r="D943" s="277"/>
    </row>
    <row r="944">
      <c r="A944" s="277"/>
      <c r="B944" s="277"/>
      <c r="C944" s="277"/>
      <c r="D944" s="277"/>
    </row>
    <row r="945">
      <c r="A945" s="277"/>
      <c r="B945" s="277"/>
      <c r="C945" s="277"/>
      <c r="D945" s="277"/>
    </row>
    <row r="946">
      <c r="A946" s="277"/>
      <c r="B946" s="277"/>
      <c r="C946" s="277"/>
      <c r="D946" s="277"/>
    </row>
    <row r="947">
      <c r="A947" s="277"/>
      <c r="B947" s="277"/>
      <c r="C947" s="277"/>
      <c r="D947" s="277"/>
    </row>
    <row r="948">
      <c r="A948" s="277"/>
      <c r="B948" s="277"/>
      <c r="C948" s="277"/>
      <c r="D948" s="277"/>
    </row>
    <row r="949">
      <c r="A949" s="277"/>
      <c r="B949" s="277"/>
      <c r="C949" s="277"/>
      <c r="D949" s="277"/>
    </row>
    <row r="950">
      <c r="A950" s="277"/>
      <c r="B950" s="277"/>
      <c r="C950" s="277"/>
      <c r="D950" s="277"/>
    </row>
    <row r="951">
      <c r="A951" s="277"/>
      <c r="B951" s="277"/>
      <c r="C951" s="277"/>
      <c r="D951" s="277"/>
    </row>
    <row r="952">
      <c r="A952" s="277"/>
      <c r="B952" s="277"/>
      <c r="C952" s="277"/>
      <c r="D952" s="277"/>
    </row>
    <row r="953">
      <c r="A953" s="277"/>
      <c r="B953" s="277"/>
      <c r="C953" s="277"/>
      <c r="D953" s="277"/>
    </row>
    <row r="954">
      <c r="A954" s="277"/>
      <c r="B954" s="277"/>
      <c r="C954" s="277"/>
      <c r="D954" s="277"/>
    </row>
    <row r="955">
      <c r="A955" s="277"/>
      <c r="B955" s="277"/>
      <c r="C955" s="277"/>
      <c r="D955" s="277"/>
    </row>
    <row r="956">
      <c r="A956" s="277"/>
      <c r="B956" s="277"/>
      <c r="C956" s="277"/>
      <c r="D956" s="277"/>
    </row>
    <row r="957">
      <c r="A957" s="277"/>
      <c r="B957" s="277"/>
      <c r="C957" s="277"/>
      <c r="D957" s="277"/>
    </row>
    <row r="958">
      <c r="A958" s="277"/>
      <c r="B958" s="277"/>
      <c r="C958" s="277"/>
      <c r="D958" s="277"/>
    </row>
    <row r="959">
      <c r="A959" s="277"/>
      <c r="B959" s="277"/>
      <c r="C959" s="277"/>
      <c r="D959" s="277"/>
    </row>
    <row r="960">
      <c r="A960" s="277"/>
      <c r="B960" s="277"/>
      <c r="C960" s="277"/>
      <c r="D960" s="277"/>
    </row>
    <row r="961">
      <c r="A961" s="277"/>
      <c r="B961" s="277"/>
      <c r="C961" s="277"/>
      <c r="D961" s="277"/>
    </row>
    <row r="962">
      <c r="A962" s="277"/>
      <c r="B962" s="277"/>
      <c r="C962" s="277"/>
      <c r="D962" s="277"/>
    </row>
    <row r="963">
      <c r="A963" s="277"/>
      <c r="B963" s="277"/>
      <c r="C963" s="277"/>
      <c r="D963" s="277"/>
    </row>
    <row r="964">
      <c r="A964" s="277"/>
      <c r="B964" s="277"/>
      <c r="C964" s="277"/>
      <c r="D964" s="277"/>
    </row>
    <row r="965">
      <c r="A965" s="277"/>
      <c r="B965" s="277"/>
      <c r="C965" s="277"/>
      <c r="D965" s="277"/>
    </row>
    <row r="966">
      <c r="A966" s="277"/>
      <c r="B966" s="277"/>
      <c r="C966" s="277"/>
      <c r="D966" s="277"/>
    </row>
    <row r="967">
      <c r="A967" s="277"/>
      <c r="B967" s="277"/>
      <c r="C967" s="277"/>
      <c r="D967" s="277"/>
    </row>
    <row r="968">
      <c r="A968" s="277"/>
      <c r="B968" s="277"/>
      <c r="C968" s="277"/>
      <c r="D968" s="277"/>
    </row>
    <row r="969">
      <c r="A969" s="277"/>
      <c r="B969" s="277"/>
      <c r="C969" s="277"/>
      <c r="D969" s="277"/>
    </row>
    <row r="970">
      <c r="A970" s="277"/>
      <c r="B970" s="277"/>
      <c r="C970" s="277"/>
      <c r="D970" s="277"/>
    </row>
    <row r="971">
      <c r="A971" s="277"/>
      <c r="B971" s="277"/>
      <c r="C971" s="277"/>
      <c r="D971" s="277"/>
    </row>
    <row r="972">
      <c r="A972" s="277"/>
      <c r="B972" s="277"/>
      <c r="C972" s="277"/>
      <c r="D972" s="277"/>
    </row>
    <row r="973">
      <c r="A973" s="277"/>
      <c r="B973" s="277"/>
      <c r="C973" s="277"/>
      <c r="D973" s="277"/>
    </row>
    <row r="974">
      <c r="A974" s="277"/>
      <c r="B974" s="277"/>
      <c r="C974" s="277"/>
      <c r="D974" s="277"/>
    </row>
    <row r="975">
      <c r="A975" s="277"/>
      <c r="B975" s="277"/>
      <c r="C975" s="277"/>
      <c r="D975" s="277"/>
    </row>
    <row r="976">
      <c r="A976" s="277"/>
      <c r="B976" s="277"/>
      <c r="C976" s="277"/>
      <c r="D976" s="277"/>
    </row>
    <row r="977">
      <c r="A977" s="277"/>
      <c r="B977" s="277"/>
      <c r="C977" s="277"/>
      <c r="D977" s="277"/>
    </row>
    <row r="978">
      <c r="A978" s="277"/>
      <c r="B978" s="277"/>
      <c r="C978" s="277"/>
      <c r="D978" s="277"/>
    </row>
    <row r="979">
      <c r="A979" s="277"/>
      <c r="B979" s="277"/>
      <c r="C979" s="277"/>
      <c r="D979" s="277"/>
    </row>
    <row r="980">
      <c r="A980" s="277"/>
      <c r="B980" s="277"/>
      <c r="C980" s="277"/>
      <c r="D980" s="277"/>
    </row>
    <row r="981">
      <c r="A981" s="277"/>
      <c r="B981" s="277"/>
      <c r="C981" s="277"/>
      <c r="D981" s="277"/>
    </row>
    <row r="982">
      <c r="A982" s="277"/>
      <c r="B982" s="277"/>
      <c r="C982" s="277"/>
      <c r="D982" s="277"/>
    </row>
    <row r="983">
      <c r="A983" s="277"/>
      <c r="B983" s="277"/>
      <c r="C983" s="277"/>
      <c r="D983" s="277"/>
    </row>
    <row r="984">
      <c r="A984" s="277"/>
      <c r="B984" s="277"/>
      <c r="C984" s="277"/>
      <c r="D984" s="277"/>
    </row>
    <row r="985">
      <c r="A985" s="277"/>
      <c r="B985" s="277"/>
      <c r="C985" s="277"/>
      <c r="D985" s="277"/>
    </row>
    <row r="986">
      <c r="A986" s="277"/>
      <c r="B986" s="277"/>
      <c r="C986" s="277"/>
      <c r="D986" s="277"/>
    </row>
    <row r="987">
      <c r="A987" s="277"/>
      <c r="B987" s="277"/>
      <c r="C987" s="277"/>
      <c r="D987" s="277"/>
    </row>
    <row r="988">
      <c r="A988" s="277"/>
      <c r="B988" s="277"/>
      <c r="C988" s="277"/>
      <c r="D988" s="277"/>
    </row>
    <row r="989">
      <c r="A989" s="277"/>
      <c r="B989" s="277"/>
      <c r="C989" s="277"/>
      <c r="D989" s="277"/>
    </row>
    <row r="990">
      <c r="A990" s="277"/>
      <c r="B990" s="277"/>
      <c r="C990" s="277"/>
      <c r="D990" s="277"/>
    </row>
    <row r="991">
      <c r="A991" s="277"/>
      <c r="B991" s="277"/>
      <c r="C991" s="277"/>
      <c r="D991" s="277"/>
    </row>
    <row r="992">
      <c r="A992" s="277"/>
      <c r="B992" s="277"/>
      <c r="C992" s="277"/>
      <c r="D992" s="277"/>
    </row>
    <row r="993">
      <c r="A993" s="277"/>
      <c r="B993" s="277"/>
      <c r="C993" s="277"/>
      <c r="D993" s="277"/>
    </row>
    <row r="994">
      <c r="A994" s="277"/>
      <c r="B994" s="277"/>
      <c r="C994" s="277"/>
      <c r="D994" s="277"/>
    </row>
    <row r="995">
      <c r="A995" s="277"/>
      <c r="B995" s="277"/>
      <c r="C995" s="277"/>
      <c r="D995" s="277"/>
    </row>
    <row r="996">
      <c r="A996" s="277"/>
      <c r="B996" s="277"/>
      <c r="C996" s="277"/>
      <c r="D996" s="277"/>
    </row>
    <row r="997">
      <c r="A997" s="277"/>
      <c r="B997" s="277"/>
      <c r="C997" s="277"/>
      <c r="D997" s="277"/>
    </row>
    <row r="998">
      <c r="A998" s="277"/>
      <c r="B998" s="277"/>
      <c r="C998" s="277"/>
      <c r="D998" s="277"/>
    </row>
    <row r="999">
      <c r="A999" s="277"/>
      <c r="B999" s="277"/>
      <c r="C999" s="277"/>
      <c r="D999" s="277"/>
    </row>
    <row r="1000">
      <c r="A1000" s="277"/>
      <c r="B1000" s="277"/>
      <c r="C1000" s="277"/>
      <c r="D1000" s="277"/>
    </row>
    <row r="1001">
      <c r="A1001" s="277"/>
      <c r="B1001" s="277"/>
      <c r="C1001" s="277"/>
      <c r="D1001" s="277"/>
    </row>
    <row r="1002">
      <c r="A1002" s="277"/>
      <c r="B1002" s="277"/>
      <c r="C1002" s="277"/>
      <c r="D1002" s="277"/>
    </row>
    <row r="1003">
      <c r="A1003" s="277"/>
      <c r="B1003" s="277"/>
      <c r="C1003" s="277"/>
      <c r="D1003" s="277"/>
    </row>
    <row r="1004">
      <c r="A1004" s="277"/>
      <c r="B1004" s="277"/>
      <c r="C1004" s="277"/>
      <c r="D1004" s="277"/>
    </row>
    <row r="1005">
      <c r="A1005" s="277"/>
      <c r="B1005" s="277"/>
      <c r="C1005" s="277"/>
      <c r="D1005" s="277"/>
    </row>
    <row r="1006">
      <c r="A1006" s="277"/>
      <c r="B1006" s="277"/>
      <c r="C1006" s="277"/>
      <c r="D1006" s="277"/>
    </row>
    <row r="1007">
      <c r="A1007" s="277"/>
      <c r="B1007" s="277"/>
      <c r="C1007" s="277"/>
      <c r="D1007" s="277"/>
    </row>
    <row r="1008">
      <c r="A1008" s="277"/>
      <c r="B1008" s="277"/>
      <c r="C1008" s="277"/>
      <c r="D1008" s="277"/>
    </row>
    <row r="1009">
      <c r="A1009" s="277"/>
      <c r="B1009" s="277"/>
      <c r="C1009" s="277"/>
      <c r="D1009" s="277"/>
    </row>
    <row r="1010">
      <c r="A1010" s="277"/>
      <c r="B1010" s="277"/>
      <c r="C1010" s="277"/>
      <c r="D1010" s="277"/>
    </row>
    <row r="1011">
      <c r="A1011" s="277"/>
      <c r="B1011" s="277"/>
      <c r="C1011" s="277"/>
      <c r="D1011" s="277"/>
    </row>
    <row r="1012">
      <c r="A1012" s="277"/>
      <c r="B1012" s="277"/>
      <c r="C1012" s="277"/>
      <c r="D1012" s="277"/>
    </row>
    <row r="1013">
      <c r="A1013" s="277"/>
      <c r="B1013" s="277"/>
      <c r="C1013" s="277"/>
      <c r="D1013" s="277"/>
    </row>
    <row r="1014">
      <c r="A1014" s="277"/>
      <c r="B1014" s="277"/>
      <c r="C1014" s="277"/>
      <c r="D1014" s="277"/>
    </row>
    <row r="1015">
      <c r="A1015" s="277"/>
      <c r="B1015" s="277"/>
      <c r="C1015" s="277"/>
      <c r="D1015" s="277"/>
    </row>
    <row r="1016">
      <c r="A1016" s="277"/>
      <c r="B1016" s="277"/>
      <c r="C1016" s="277"/>
      <c r="D1016" s="277"/>
    </row>
    <row r="1017">
      <c r="A1017" s="277"/>
      <c r="B1017" s="277"/>
      <c r="C1017" s="277"/>
      <c r="D1017" s="277"/>
    </row>
    <row r="1018">
      <c r="A1018" s="277"/>
      <c r="B1018" s="277"/>
      <c r="C1018" s="277"/>
      <c r="D1018" s="277"/>
    </row>
    <row r="1019">
      <c r="A1019" s="277"/>
      <c r="B1019" s="277"/>
      <c r="C1019" s="277"/>
      <c r="D1019" s="277"/>
    </row>
    <row r="1020">
      <c r="A1020" s="277"/>
      <c r="B1020" s="277"/>
      <c r="C1020" s="277"/>
      <c r="D1020" s="277"/>
    </row>
    <row r="1021">
      <c r="A1021" s="277"/>
      <c r="B1021" s="277"/>
      <c r="C1021" s="277"/>
      <c r="D1021" s="277"/>
    </row>
    <row r="1022">
      <c r="A1022" s="277"/>
      <c r="B1022" s="277"/>
      <c r="C1022" s="277"/>
      <c r="D1022" s="277"/>
    </row>
    <row r="1023">
      <c r="A1023" s="277"/>
      <c r="B1023" s="277"/>
      <c r="C1023" s="277"/>
      <c r="D1023" s="277"/>
    </row>
    <row r="1024">
      <c r="A1024" s="277"/>
      <c r="B1024" s="277"/>
      <c r="C1024" s="277"/>
      <c r="D1024" s="277"/>
    </row>
    <row r="1025">
      <c r="A1025" s="277"/>
      <c r="B1025" s="277"/>
      <c r="C1025" s="277"/>
      <c r="D1025" s="277"/>
    </row>
    <row r="1026">
      <c r="A1026" s="277"/>
      <c r="B1026" s="277"/>
      <c r="C1026" s="277"/>
      <c r="D1026" s="277"/>
    </row>
    <row r="1027">
      <c r="A1027" s="277"/>
      <c r="B1027" s="277"/>
      <c r="C1027" s="277"/>
      <c r="D1027" s="277"/>
    </row>
    <row r="1028">
      <c r="A1028" s="277"/>
      <c r="B1028" s="277"/>
      <c r="C1028" s="277"/>
      <c r="D1028" s="277"/>
    </row>
    <row r="1029">
      <c r="A1029" s="277"/>
      <c r="B1029" s="277"/>
      <c r="C1029" s="277"/>
      <c r="D1029" s="277"/>
    </row>
    <row r="1030">
      <c r="A1030" s="277"/>
      <c r="B1030" s="277"/>
      <c r="C1030" s="277"/>
      <c r="D1030" s="277"/>
    </row>
    <row r="1031">
      <c r="A1031" s="277"/>
      <c r="B1031" s="277"/>
      <c r="C1031" s="277"/>
      <c r="D1031" s="277"/>
    </row>
    <row r="1032">
      <c r="A1032" s="277"/>
      <c r="B1032" s="277"/>
      <c r="C1032" s="277"/>
      <c r="D1032" s="277"/>
    </row>
    <row r="1033">
      <c r="A1033" s="277"/>
      <c r="B1033" s="277"/>
      <c r="C1033" s="277"/>
      <c r="D1033" s="277"/>
    </row>
    <row r="1034">
      <c r="A1034" s="277"/>
      <c r="B1034" s="277"/>
      <c r="C1034" s="277"/>
      <c r="D1034" s="277"/>
    </row>
    <row r="1035">
      <c r="A1035" s="277"/>
      <c r="B1035" s="277"/>
      <c r="C1035" s="277"/>
      <c r="D1035" s="277"/>
    </row>
    <row r="1036">
      <c r="A1036" s="277"/>
      <c r="B1036" s="277"/>
      <c r="C1036" s="277"/>
      <c r="D1036" s="277"/>
    </row>
    <row r="1037">
      <c r="A1037" s="277"/>
      <c r="B1037" s="277"/>
      <c r="C1037" s="277"/>
      <c r="D1037" s="277"/>
    </row>
    <row r="1038">
      <c r="A1038" s="277"/>
      <c r="B1038" s="277"/>
      <c r="C1038" s="277"/>
      <c r="D1038" s="277"/>
    </row>
    <row r="1039">
      <c r="A1039" s="277"/>
      <c r="B1039" s="277"/>
      <c r="C1039" s="277"/>
      <c r="D1039" s="277"/>
    </row>
    <row r="1040">
      <c r="A1040" s="277"/>
      <c r="B1040" s="277"/>
      <c r="C1040" s="277"/>
      <c r="D1040" s="277"/>
    </row>
    <row r="1041">
      <c r="A1041" s="277"/>
      <c r="B1041" s="277"/>
      <c r="C1041" s="277"/>
      <c r="D1041" s="277"/>
    </row>
  </sheetData>
  <mergeCells count="5">
    <mergeCell ref="A2:A7"/>
    <mergeCell ref="A10:A13"/>
    <mergeCell ref="A16:A17"/>
    <mergeCell ref="A20:A21"/>
    <mergeCell ref="A24:A32"/>
  </mergeCells>
  <hyperlinks>
    <hyperlink r:id="rId1" ref="B21"/>
    <hyperlink r:id="rId2" ref="B30"/>
  </hyperlinks>
  <drawing r:id="rId3"/>
  <tableParts count="2">
    <tablePart r:id="rId6"/>
    <tablePart r:id="rId7"/>
  </tableParts>
</worksheet>
</file>