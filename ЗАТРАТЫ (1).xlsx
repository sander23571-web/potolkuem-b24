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metadata.xml><?xml version="1.0" encoding="utf-8"?>
<s:metadata xmlns:xda="http://schemas.microsoft.com/office/spreadsheetml/2017/dynamicarray" xmlns:s="http://schemas.openxmlformats.org/spreadsheetml/2006/main">
  <s:metadataTypes count="1">
    <s:metadataType name="XLDAPR" minSupportedVersion="120000" copy="1" pasteAll="1" pasteValues="1" merge="1" splitFirst="1" rowColShift="1" clearFormats="1" clearComments="1" assign="1" coerce="1" cellMeta="1"/>
  </s:metadataTypes>
  <s:futureMetadata name="XLDAPR" count="1">
    <s:bk>
      <s:extLst>
        <s:ext uri="{bdbb8cdc-fa1e-496e-a857-3c3f30c029c3}">
          <xda:dynamicArrayProperties fDynamic="1" fCollapsed="0"/>
        </s:ext>
      </s:extLst>
    </s:bk>
  </s:futureMetadata>
  <s:cellMetadata count="1">
    <s:bk>
      <s:rc t="1" v="0"/>
    </s:bk>
  </s:cellMetadata>
</s:metadata>
</file>

<file path=xl/sharedStrings.xml><?xml version="1.0" encoding="utf-8"?>
<s:sst xmlns:s="http://schemas.openxmlformats.org/spreadsheetml/2006/main">
  <s:si>
    <s:t>Месяц</s:t>
  </s:si>
  <s:si>
    <s:t>Активность</s:t>
  </s:si>
  <s:si>
    <s:t>Статья расхода</s:t>
  </s:si>
  <s:si>
    <s:t>Описание</s:t>
  </s:si>
  <s:si>
    <s:t>Кол-во</s:t>
  </s:si>
  <s:si>
    <s:t>Цена за ед.</s:t>
  </s:si>
  <s:si>
    <s:t>Сумма</s:t>
  </s:si>
  <s:si>
    <s:t>Примечание</s:t>
  </s:si>
  <s:si>
    <s:t>Январь</s:t>
  </s:si>
  <s:si>
    <s:t>Программы</s:t>
  </s:si>
  <s:si>
    <s:t>PressFeed</s:t>
  </s:si>
  <s:si>
    <s:t>онлайн-сервис в сфере медиа и PR, который упрощает взаимодействие между журналистами и экспертами.</s:t>
  </s:si>
  <s:si>
    <s:t>р.25 000</s:t>
  </s:si>
  <s:si>
    <s:t>Блогеры</s:t>
  </s:si>
  <s:si>
    <s:t>Даша Пешкова</s:t>
  </s:si>
  <s:si>
    <s:t>Реклама в блоге Youtube</s:t>
  </s:si>
  <s:si>
    <s:t>р.60 000</s:t>
  </s:si>
  <s:si>
    <s:t>Итого:</s:t>
  </s:si>
  <s:si>
    <s:t>р.85 000</s:t>
  </s:si>
  <s:si>
    <s:t>Февраль</s:t>
  </s:si>
  <s:si>
    <s:t>Выставка "Образование и карьера"</s:t>
  </s:si>
  <s:si>
    <s:t>Аренда</s:t>
  </s:si>
  <s:si>
    <s:t>Место на выставке</s:t>
  </s:si>
  <s:si>
    <s:t>р.177 030</s:t>
  </s:si>
  <s:si>
    <s:t>Публикация в каталоге</s:t>
  </s:si>
  <s:si>
    <s:t>А5, цвет, приоритет</s:t>
  </s:si>
  <s:si>
    <s:t>р.7 560</s:t>
  </s:si>
  <s:si>
    <s:t>Стенд</s:t>
  </s:si>
  <s:si>
    <s:t>Изготовление двустороннего стенда</s:t>
  </s:si>
  <s:si>
    <s:t>р.245 900</s:t>
  </s:si>
  <s:si>
    <s:t>Юридические услуги</s:t>
  </s:si>
  <s:si>
    <s:t>Валерия Рытвина</s:t>
  </s:si>
  <s:si>
    <s:t>Консультация</s:t>
  </s:si>
  <s:si>
    <s:t>р.15 000</s:t>
  </s:si>
  <s:si>
    <s:t>Дисклеймер</s:t>
  </s:si>
  <s:si>
    <s:t>р.12 000</s:t>
  </s:si>
  <s:si>
    <s:t>Николай Жаринов</s:t>
  </s:si>
  <s:si>
    <s:t>Реклама в блоге Rutube</s:t>
  </s:si>
  <s:si>
    <s:t>р.130 000</s:t>
  </s:si>
  <s:si>
    <s:t>Хидэ Масуи</s:t>
  </s:si>
  <s:si>
    <s:t>Консультант по Японии. Блогер</s:t>
  </s:si>
  <s:si>
    <s:t>р.10 000</s:t>
  </s:si>
  <s:si>
    <s:t>р.587 490</s:t>
  </s:si>
  <s:si>
    <s:t>Аренда стенда</s:t>
  </s:si>
  <s:si>
    <s:t>Аренда букстока</s:t>
  </s:si>
  <s:si>
    <s:t>Лоток для продажи за пределами выставки</s:t>
  </s:si>
  <s:si>
    <s:t>=</s:t>
  </s:si>
  <s:si>
    <s:t>Лифлеты</s:t>
  </s:si>
  <s:si>
    <s:t>nonfictio№</s:t>
  </s:si>
  <s:si>
    <s:t>Оклейка стенда</s:t>
  </s:si>
  <s:si>
    <s:t>Листовка 210*60</s:t>
  </s:si>
  <s:si>
    <s:t>Буклет А4</s:t>
  </s:si>
  <s:si>
    <s:t>non-fictio№</s:t>
  </s:si>
  <s:si>
    <s:t>Логистика</s:t>
  </s:si>
  <s:si>
    <s:t>Доставка лифлетов, доставка игр, заезд и выезд с выставки</s:t>
  </s:si>
  <s:si>
    <s:t>Ведущие</s:t>
  </s:si>
  <s:si>
    <s:t>Костюмы космонавтов</s:t>
  </s:si>
  <s:si>
    <s:t>выход, план, продажи</s:t>
  </s:si>
  <s:si>
    <s:t>Выход, план, продажи</s:t>
  </s:si>
  <s:si>
    <s:t>Листовка 210*60, Буклет А4</s:t>
  </s:si>
  <s:si>
    <s:t>Листовка 210*60 (300 шт.), Буклет А4 (300 шт.)</s:t>
  </s:si>
  <s:si>
    <s:t>Оклейка стен пленкой с фотоизображением (вкл. стоимость фотопечати у Генерального застройщика)</s:t>
  </s:si>
  <s:si>
    <s:t>Оклейка стенда пленкой с фотоизображением (вкл. стоимость фотопечати у Генерального застройщика)</s:t>
  </s:si>
  <s:si>
    <s:t>5 человек (выход+kpi)</s:t>
  </s:si>
  <s:si>
    <s:t>6 человек (выход+kpi)</s:t>
  </s:si>
  <s:si>
    <s:t>Костюмы</s:t>
  </s:si>
  <s:si>
    <s:t>Скафандры</s:t>
  </s:si>
  <s:si>
    <s:t>Игры в подарок</s:t>
  </s:si>
  <s:si>
    <s:t>"Потолкуем? Классика"</s:t>
  </s:si>
  <s:si>
    <s:t>"Потолкуем? Классика 1.0" (по себестоимости)</s:t>
  </s:si>
  <s:si>
    <s:t>Аренда выставочной площади - стандартногостенда для размещения экспозиции,ориентированной на взрослую читательскуюаудиториюРегистрационный сбор</s:t>
  </s:si>
  <s:si>
    <s:t>Аренда выставочной площади - стандартногостенда для размещения экспозиции,ориентированной на взрослую читательскуюаудиторию
Регистрационный сбор</s:t>
  </s:si>
  <s:si>
    <s:t>Аренда выставочной площади - стандартногостенда для размещения экспозиции,ориентированной на взрослую читательскуюаудиторию
Регистрационный сбор+</s:t>
  </s:si>
  <s:si>
    <s:t>Аренда выставочной площади - стандартногостенда для размещения экспозиции,ориентированной на взрослую читательскуюаудиторию+
Регистрационный сбор</s:t>
  </s:si>
  <s:si>
    <s:t>non-fictioN</s:t>
  </s:si>
  <s:si>
    <s:t>Non-fictioN</s:t>
  </s:si>
  <s:si>
    <s:t>Листовка 210*60 (300 шт.), 
Буклет А4 (300 шт.)</s:t>
  </s:si>
  <s:si>
    <s:t>Доставка лифлетов, доставка игр, заезд и выезд с выставки.</s:t>
  </s:si>
  <s:si>
    <s:t>4 дня ,6 человек (выход+kpi)</s:t>
  </s:si>
  <s:si>
    <s:t>4 дня , 6 человек (выход+kpi)</s:t>
  </s:si>
  <s:si>
    <s:t>4 дня,6 человек (выход+kpi)</s:t>
  </s:si>
  <s:si>
    <s:t>4 дня,6 человек (Выход+kpi)</s:t>
  </s:si>
  <s:si>
    <s:t>Игры в подарок на выставке</s:t>
  </s:si>
  <s:si>
    <s:t>"Потолкуем? Классика 1.0" 
(по себестоимости)</s:t>
  </s:si>
  <s:si>
    <s:t>"Потолкуем? Классика 1.0" 
(цена указана в себестоимости)</s:t>
  </s:si>
  <s:si>
    <s:t>Листовка 210*60 (300 шт.), 
Буклет А4 (300 шт.)+доставка включена в стоимость</s:t>
  </s:si>
  <s:si>
    <s:t>Доставка игр,заезд и выезд с выставки.</s:t>
  </s:si>
  <s:si>
    <s:t>Доставка игр,заезд и выезд с выставки</s:t>
  </s:si>
  <s:si>
    <s:t>4 дня ,6 человек (Выход+kpi)</s:t>
  </s:si>
  <s:si>
    <s:t>"Потолкуем? Классика 1.0" 
(цена указана по себестоимости)</s:t>
  </s:si>
  <s:si>
    <s:t>АРХ МОСКВА</s:t>
  </s:si>
  <s:si>
    <s:t>Аренда предметов мебели с расстановкой: Стол прямоугольный 120х60 Аренда предметов мебели с расстановкой: Стул выставочный (черный , хром) Предпечатная подготовка баннеров и самоклейки Печать баннера (материал - литой 510 гр. Разрешение 720 dpi) Прямолинейный монтаж баннера на стенд "Стандарт -Октанорм" и "Стандарт-Премиум" (от 3,5 до 7кв.м.)</s:t>
  </s:si>
</s:sst>
</file>

<file path=xl/styles.xml><?xml version="1.0" encoding="utf-8"?>
<s:styleSheet xmlns:vyd="http://volga.yandex.com/schemas/document/model" xmlns:mc="http://schemas.openxmlformats.org/markup-compatibility/2006" xmlns:s="http://schemas.openxmlformats.org/spreadsheetml/2006/main">
  <s:numFmts count="3">
    <s:numFmt numFmtId="164" formatCode="#,##0.00 [$₽-419]"/>
    <s:numFmt numFmtId="165" formatCode="_-* #,##0.00 [$₽-419];-* #,##0.00 [$₽-419];_-* - [$₽-419];_-@"/>
    <s:numFmt numFmtId="166" formatCode="#,##0.00 [$₽-419];[Red]-#,##0.00 [$₽-419]"/>
  </s:numFmts>
  <s:fonts count="4">
    <s:font>
      <s:name val="Arial"/>
      <s:family val="2"/>
      <s:color theme="1"/>
      <s:sz val="10"/>
    </s:font>
    <s:font>
      <s:b val="1"/>
    </s:font>
    <s:font>
      <s:b val="1"/>
      <s:sz val="11"/>
    </s:font>
    <s:font>
      <s:b val="1"/>
      <s:sz val="12"/>
    </s:font>
  </s:fonts>
  <s:fills count="7">
    <s:fill>
      <s:patternFill patternType="none"/>
    </s:fill>
    <s:fill>
      <s:patternFill patternType="gray125"/>
    </s:fill>
    <s:fill>
      <s:patternFill patternType="solid">
        <s:fgColor rgb="FFC9DAF8"/>
      </s:patternFill>
    </s:fill>
    <s:fill>
      <s:patternFill patternType="solid">
        <s:fgColor rgb="FFEAD1DC"/>
      </s:patternFill>
    </s:fill>
    <s:fill>
      <s:patternFill patternType="solid">
        <s:fgColor rgb="FFFFF2CC"/>
      </s:patternFill>
    </s:fill>
    <s:fill>
      <s:patternFill patternType="solid">
        <s:fgColor rgb="FFCFE2F3"/>
      </s:patternFill>
    </s:fill>
    <s:fill>
      <s:patternFill patternType="solid">
        <s:fgColor rgb="FFF3F3F3"/>
      </s:patternFill>
    </s:fill>
  </s:fills>
  <s:borders count="13">
    <s:border>
      <s:left/>
      <s:right/>
      <s:top/>
      <s:bottom/>
      <s:diagonal/>
    </s:border>
    <s:border>
      <s:left style="solid">
        <s:color rgb="FF000000"/>
      </s:left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left style="solid">
        <s:color rgb="FF000000"/>
      </s:left>
      <s:right style="solid">
        <s:color rgb="FF000000"/>
      </s:right>
      <s:bottom style="solid">
        <s:color rgb="FF000000"/>
      </s:bottom>
    </s:border>
    <s:border>
      <s:right style="solid">
        <s:color rgb="FF000000"/>
      </s:right>
      <s:bottom style="solid">
        <s:color rgb="FF000000"/>
      </s:bottom>
    </s:border>
    <s:border>
      <s:right style="solid">
        <s:color rgb="FF000000"/>
      </s:right>
    </s:border>
    <s:border>
      <s:left style="thin"/>
      <s:right style="thin"/>
      <s:top style="thin"/>
      <s:bottom style="thin"/>
    </s:border>
    <s:border>
      <s:left style="thin"/>
      <s:right style="thin"/>
      <s:top style="thin"/>
      <s:bottom/>
    </s:border>
    <s:border>
      <s:left style="thin"/>
      <s:right style="thin"/>
      <s:top/>
      <s:bottom/>
    </s:border>
    <s:border>
      <s:left style="thin"/>
      <s:right style="thin"/>
      <s:top/>
      <s:bottom style="thin"/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  <s:border>
      <s:left style="thin"/>
      <s:right style="none">
        <s:color rgb="none"/>
      </s:right>
      <s:top style="thin"/>
      <s:bottom style="thin"/>
    </s:border>
    <s:border>
      <s:left style="none">
        <s:color rgb="none"/>
      </s:left>
      <s:right style="thin"/>
      <s:top style="thin"/>
      <s:bottom style="thin"/>
    </s:border>
  </s:borders>
  <s:cellStyleXfs count="1">
    <s:xf numFmtId="0" fontId="0" fillId="0" borderId="0"/>
  </s:cellStyleXfs>
  <s:cellXfs count="89">
    <s:xf numFmtId="0" fontId="0" fillId="0" borderId="0" xfId="0"/>
    <s:xf fontId="1" fillId="2" borderId="1" applyFont="1" applyFill="1" applyBorder="1" applyAlignment="1">
      <s:alignment horizontal="center" vertical="center" wrapText="0" vyd:clipText="0" mc:Ignorable="vyd"/>
    </s:xf>
    <s:xf fontId="1" fillId="2" borderId="2" applyFont="1" applyFill="1" applyBorder="1" applyAlignment="1">
      <s:alignment horizontal="center" vertical="center" wrapText="0" vyd:clipText="0" mc:Ignorable="vyd"/>
    </s:xf>
    <s:xf fontId="1" borderId="3" applyFont="1" applyBorder="1" applyAlignment="1">
      <s:alignment horizontal="center" vertical="center" wrapText="0" vyd:clipText="1" mc:Ignorable="vyd"/>
    </s:xf>
    <s:xf fontId="1" fillId="3" borderId="4" applyFont="1" applyFill="1" applyBorder="1" applyAlignment="1">
      <s:alignment horizontal="center" vertical="center" wrapText="0" vyd:clipText="0" mc:Ignorable="vyd"/>
    </s:xf>
    <s:xf fillId="3" borderId="4" applyFill="1" applyBorder="1" applyAlignment="1">
      <s:alignment vertical="bottom" wrapText="0" vyd:clipText="1" mc:Ignorable="vyd"/>
    </s:xf>
    <s:xf fillId="3" borderId="4" applyFill="1" applyBorder="1" applyAlignment="1">
      <s:alignment vertical="bottom" wrapText="0" vyd:clipText="0" mc:Ignorable="vyd"/>
    </s:xf>
    <s:xf fillId="3" borderId="4" applyFill="1" applyBorder="1" applyAlignment="1">
      <s:alignment horizontal="center" vertical="bottom" wrapText="0" vyd:clipText="1" mc:Ignorable="vyd"/>
    </s:xf>
    <s:xf fillId="3" borderId="4" applyFill="1" applyBorder="1" applyAlignment="1">
      <s:alignment horizontal="right" vertical="bottom" wrapText="0" vyd:clipText="1" mc:Ignorable="vyd"/>
    </s:xf>
    <s:xf fontId="1" fillId="4" borderId="4" applyFont="1" applyFill="1" applyBorder="1" applyAlignment="1">
      <s:alignment horizontal="center" vertical="center" wrapText="0" vyd:clipText="1" mc:Ignorable="vyd"/>
    </s:xf>
    <s:xf fillId="4" borderId="4" applyFill="1" applyBorder="1" applyAlignment="1">
      <s:alignment vertical="bottom" wrapText="0" vyd:clipText="1" mc:Ignorable="vyd"/>
    </s:xf>
    <s:xf fillId="4" borderId="4" applyFill="1" applyBorder="1" applyAlignment="1">
      <s:alignment horizontal="center" vertical="bottom" wrapText="0" vyd:clipText="1" mc:Ignorable="vyd"/>
    </s:xf>
    <s:xf fillId="4" borderId="4" applyFill="1" applyBorder="1" applyAlignment="1">
      <s:alignment horizontal="right" vertical="bottom" wrapText="0" vyd:clipText="1" mc:Ignorable="vyd"/>
    </s:xf>
    <s:xf fillId="5" borderId="4" applyFill="1" applyBorder="1" applyAlignment="1">
      <s:alignment horizontal="right" vertical="bottom" wrapText="0" vyd:clipText="1" mc:Ignorable="vyd"/>
    </s:xf>
    <s:xf fillId="5" borderId="4" applyFill="1" applyBorder="1" applyAlignment="1">
      <s:alignment vertical="bottom" wrapText="0" vyd:clipText="1" mc:Ignorable="vyd"/>
    </s:xf>
    <s:xf borderId="3" applyBorder="1" applyAlignment="1">
      <s:alignment vertical="center" wrapText="0" vyd:clipText="1" mc:Ignorable="vyd"/>
    </s:xf>
    <s:xf fontId="1" fillId="6" borderId="4" applyFont="1" applyFill="1" applyBorder="1" applyAlignment="1">
      <s:alignment horizontal="center" vertical="center" wrapText="0" vyd:clipText="1" mc:Ignorable="vyd"/>
    </s:xf>
    <s:xf fillId="6" borderId="4" applyFill="1" applyBorder="1" applyAlignment="1">
      <s:alignment vertical="bottom" wrapText="0" vyd:clipText="1" mc:Ignorable="vyd"/>
    </s:xf>
    <s:xf fillId="6" borderId="4" applyFill="1" applyBorder="1" applyAlignment="1">
      <s:alignment horizontal="right" vertical="bottom" wrapText="0" vyd:clipText="1" mc:Ignorable="vyd"/>
    </s:xf>
    <s:xf fontId="1" fillId="5" borderId="4" applyFont="1" applyFill="1" applyBorder="1" applyAlignment="1">
      <s:alignment horizontal="center" vertical="center" wrapText="0" vyd:clipText="0" mc:Ignorable="vyd"/>
    </s:xf>
    <s:xf fillId="5" borderId="4" applyFill="1" applyBorder="1" applyAlignment="1">
      <s:alignment horizontal="center" vertical="bottom" wrapText="0" vyd:clipText="1" mc:Ignorable="vyd"/>
    </s:xf>
    <s:xf borderId="4" applyBorder="1" applyAlignment="1">
      <s:alignment vertical="bottom" wrapText="0" vyd:clipText="1" mc:Ignorable="vyd"/>
    </s:xf>
    <s:xf fontId="1" fillId="4" borderId="4" applyFont="1" applyFill="1" applyBorder="1" applyAlignment="1">
      <s:alignment horizontal="center" vertical="center" wrapText="0" vyd:clipText="0" mc:Ignorable="vyd"/>
    </s:xf>
    <s:xf borderId="5" applyBorder="1" applyAlignment="1">
      <s:alignment vertical="center" wrapText="0" vyd:clipText="1" mc:Ignorable="vyd"/>
    </s:xf>
    <s:xf fontId="1" fillId="2" borderId="6" applyFont="1" applyFill="1" applyBorder="1" applyAlignment="1">
      <s:alignment horizontal="center" vertical="center" wrapText="0" vyd:clipText="0" mc:Ignorable="vyd"/>
    </s:xf>
    <s:xf fontId="1" borderId="6" applyFont="1" applyBorder="1" applyAlignment="1">
      <s:alignment horizontal="center" vertical="center" wrapText="0" vyd:clipText="1" mc:Ignorable="vyd"/>
    </s:xf>
    <s:xf fontId="1" fillId="3" borderId="6" applyFont="1" applyFill="1" applyBorder="1" applyAlignment="1">
      <s:alignment horizontal="center" vertical="center" wrapText="0" vyd:clipText="0" mc:Ignorable="vyd"/>
    </s:xf>
    <s:xf fillId="3" borderId="6" applyFill="1" applyBorder="1" applyAlignment="1">
      <s:alignment vertical="bottom" wrapText="0" vyd:clipText="1" mc:Ignorable="vyd"/>
    </s:xf>
    <s:xf fillId="3" borderId="6" applyFill="1" applyBorder="1" applyAlignment="1">
      <s:alignment vertical="bottom" wrapText="0" vyd:clipText="0" mc:Ignorable="vyd"/>
    </s:xf>
    <s:xf fillId="3" borderId="6" applyFill="1" applyBorder="1" applyAlignment="1">
      <s:alignment horizontal="center" vertical="bottom" wrapText="0" vyd:clipText="1" mc:Ignorable="vyd"/>
    </s:xf>
    <s:xf fillId="3" borderId="6" applyFill="1" applyBorder="1" applyAlignment="1">
      <s:alignment horizontal="right" vertical="bottom" wrapText="0" vyd:clipText="1" mc:Ignorable="vyd"/>
    </s:xf>
    <s:xf borderId="6" applyBorder="1"/>
    <s:xf fontId="1" fillId="4" borderId="6" applyFont="1" applyFill="1" applyBorder="1" applyAlignment="1">
      <s:alignment horizontal="center" vertical="center" wrapText="0" vyd:clipText="1" mc:Ignorable="vyd"/>
    </s:xf>
    <s:xf fillId="4" borderId="6" applyFill="1" applyBorder="1" applyAlignment="1">
      <s:alignment vertical="bottom" wrapText="0" vyd:clipText="1" mc:Ignorable="vyd"/>
    </s:xf>
    <s:xf fillId="4" borderId="6" applyFill="1" applyBorder="1" applyAlignment="1">
      <s:alignment horizontal="center" vertical="bottom" wrapText="0" vyd:clipText="1" mc:Ignorable="vyd"/>
    </s:xf>
    <s:xf fillId="4" borderId="6" applyFill="1" applyBorder="1" applyAlignment="1">
      <s:alignment horizontal="right" vertical="bottom" wrapText="0" vyd:clipText="1" mc:Ignorable="vyd"/>
    </s:xf>
    <s:xf fillId="5" borderId="6" applyFill="1" applyBorder="1" applyAlignment="1">
      <s:alignment horizontal="right" vertical="bottom" wrapText="0" vyd:clipText="1" mc:Ignorable="vyd"/>
    </s:xf>
    <s:xf fillId="5" borderId="6" applyFill="1" applyBorder="1" applyAlignment="1">
      <s:alignment vertical="bottom" wrapText="0" vyd:clipText="1" mc:Ignorable="vyd"/>
    </s:xf>
    <s:xf borderId="6" applyBorder="1" applyAlignment="1">
      <s:alignment vertical="center" wrapText="0" vyd:clipText="1" mc:Ignorable="vyd"/>
    </s:xf>
    <s:xf fontId="1" fillId="6" borderId="6" applyFont="1" applyFill="1" applyBorder="1" applyAlignment="1">
      <s:alignment horizontal="center" vertical="center" wrapText="0" vyd:clipText="1" mc:Ignorable="vyd"/>
    </s:xf>
    <s:xf fillId="6" borderId="6" applyFill="1" applyBorder="1" applyAlignment="1">
      <s:alignment vertical="bottom" wrapText="0" vyd:clipText="1" mc:Ignorable="vyd"/>
    </s:xf>
    <s:xf fillId="6" borderId="6" applyFill="1" applyBorder="1" applyAlignment="1">
      <s:alignment horizontal="right" vertical="bottom" wrapText="0" vyd:clipText="1" mc:Ignorable="vyd"/>
    </s:xf>
    <s:xf fontId="1" fillId="5" borderId="6" applyFont="1" applyFill="1" applyBorder="1" applyAlignment="1">
      <s:alignment horizontal="center" vertical="center" wrapText="0" vyd:clipText="0" mc:Ignorable="vyd"/>
    </s:xf>
    <s:xf fillId="5" borderId="6" applyFill="1" applyBorder="1" applyAlignment="1">
      <s:alignment horizontal="center" vertical="bottom" wrapText="0" vyd:clipText="1" mc:Ignorable="vyd"/>
    </s:xf>
    <s:xf borderId="6" applyBorder="1" applyAlignment="1">
      <s:alignment vertical="bottom" wrapText="0" vyd:clipText="1" mc:Ignorable="vyd"/>
    </s:xf>
    <s:xf fontId="1" fillId="4" borderId="6" applyFont="1" applyFill="1" applyBorder="1" applyAlignment="1">
      <s:alignment horizontal="center" vertical="center" wrapText="0" vyd:clipText="0" mc:Ignorable="vyd"/>
    </s:xf>
    <s:xf fontId="1" fillId="2" borderId="6" applyFont="1" applyFill="1" applyBorder="1" applyAlignment="1">
      <s:alignment horizontal="center" vertical="center" wrapText="1" vyd:clipText="0" mc:Ignorable="vyd"/>
    </s:xf>
    <s:xf fontId="1" borderId="6" applyFont="1" applyBorder="1" applyAlignment="1">
      <s:alignment horizontal="center" vertical="center" wrapText="1" vyd:clipText="0" mc:Ignorable="vyd"/>
    </s:xf>
    <s:xf fontId="1" fillId="3" borderId="6" applyFont="1" applyFill="1" applyBorder="1" applyAlignment="1">
      <s:alignment horizontal="center" vertical="center" wrapText="1" vyd:clipText="0" mc:Ignorable="vyd"/>
    </s:xf>
    <s:xf fillId="3" borderId="6" applyFill="1" applyBorder="1" applyAlignment="1">
      <s:alignment vertical="bottom" wrapText="1" vyd:clipText="0" mc:Ignorable="vyd"/>
    </s:xf>
    <s:xf fillId="3" borderId="6" applyFill="1" applyBorder="1" applyAlignment="1">
      <s:alignment horizontal="center" vertical="bottom" wrapText="1" vyd:clipText="0" mc:Ignorable="vyd"/>
    </s:xf>
    <s:xf fillId="3" borderId="6" applyFill="1" applyBorder="1" applyAlignment="1">
      <s:alignment horizontal="right" vertical="bottom" wrapText="1" vyd:clipText="0" mc:Ignorable="vyd"/>
    </s:xf>
    <s:xf borderId="6" applyBorder="1" applyAlignment="1">
      <s:alignment wrapText="1" vyd:clipText="0" mc:Ignorable="vyd"/>
    </s:xf>
    <s:xf fontId="1" fillId="4" borderId="6" applyFont="1" applyFill="1" applyBorder="1" applyAlignment="1">
      <s:alignment horizontal="center" vertical="center" wrapText="1" vyd:clipText="0" mc:Ignorable="vyd"/>
    </s:xf>
    <s:xf fillId="4" borderId="6" applyFill="1" applyBorder="1" applyAlignment="1">
      <s:alignment vertical="bottom" wrapText="1" vyd:clipText="0" mc:Ignorable="vyd"/>
    </s:xf>
    <s:xf fillId="4" borderId="6" applyFill="1" applyBorder="1" applyAlignment="1">
      <s:alignment horizontal="center" vertical="bottom" wrapText="1" vyd:clipText="0" mc:Ignorable="vyd"/>
    </s:xf>
    <s:xf fillId="4" borderId="6" applyFill="1" applyBorder="1" applyAlignment="1">
      <s:alignment horizontal="right" vertical="bottom" wrapText="1" vyd:clipText="0" mc:Ignorable="vyd"/>
    </s:xf>
    <s:xf fillId="5" borderId="6" applyFill="1" applyBorder="1" applyAlignment="1">
      <s:alignment horizontal="right" vertical="bottom" wrapText="1" vyd:clipText="0" mc:Ignorable="vyd"/>
    </s:xf>
    <s:xf fillId="5" borderId="6" applyFill="1" applyBorder="1" applyAlignment="1">
      <s:alignment vertical="bottom" wrapText="1" vyd:clipText="0" mc:Ignorable="vyd"/>
    </s:xf>
    <s:xf borderId="6" applyBorder="1" applyAlignment="1">
      <s:alignment vertical="center" wrapText="1" vyd:clipText="0" mc:Ignorable="vyd"/>
    </s:xf>
    <s:xf fontId="1" fillId="6" borderId="6" applyFont="1" applyFill="1" applyBorder="1" applyAlignment="1">
      <s:alignment horizontal="center" vertical="center" wrapText="1" vyd:clipText="0" mc:Ignorable="vyd"/>
    </s:xf>
    <s:xf fillId="6" borderId="6" applyFill="1" applyBorder="1" applyAlignment="1">
      <s:alignment vertical="bottom" wrapText="1" vyd:clipText="0" mc:Ignorable="vyd"/>
    </s:xf>
    <s:xf fillId="6" borderId="6" applyFill="1" applyBorder="1" applyAlignment="1">
      <s:alignment horizontal="right" vertical="bottom" wrapText="1" vyd:clipText="0" mc:Ignorable="vyd"/>
    </s:xf>
    <s:xf fontId="1" fillId="5" borderId="6" applyFont="1" applyFill="1" applyBorder="1" applyAlignment="1">
      <s:alignment horizontal="center" vertical="center" wrapText="1" vyd:clipText="0" mc:Ignorable="vyd"/>
    </s:xf>
    <s:xf fillId="5" borderId="6" applyFill="1" applyBorder="1" applyAlignment="1">
      <s:alignment horizontal="center" vertical="bottom" wrapText="1" vyd:clipText="0" mc:Ignorable="vyd"/>
    </s:xf>
    <s:xf borderId="6" applyBorder="1" applyAlignment="1">
      <s:alignment vertical="bottom" wrapText="1" vyd:clipText="0" mc:Ignorable="vyd"/>
    </s:xf>
    <s:xf numFmtId="0" fillId="5" borderId="6" applyNumberFormat="1" applyFill="1" applyBorder="1" applyAlignment="1">
      <s:alignment horizontal="right" vertical="bottom" wrapText="1" vyd:clipText="0" mc:Ignorable="vyd"/>
    </s:xf>
    <s:xf numFmtId="164" fillId="5" borderId="6" applyNumberFormat="1" applyFill="1" applyBorder="1" applyAlignment="1">
      <s:alignment horizontal="right" vertical="bottom" wrapText="1" vyd:clipText="0" mc:Ignorable="vyd"/>
    </s:xf>
    <s:xf numFmtId="165" fillId="5" borderId="6" applyNumberFormat="1" applyFill="1" applyBorder="1" applyAlignment="1">
      <s:alignment horizontal="right" vertical="bottom" wrapText="1" vyd:clipText="0" mc:Ignorable="vyd"/>
    </s:xf>
    <s:xf numFmtId="165" fillId="6" borderId="6" applyNumberFormat="1" applyFill="1" applyBorder="1" applyAlignment="1">
      <s:alignment horizontal="right" vertical="bottom" wrapText="1" vyd:clipText="0" mc:Ignorable="vyd"/>
    </s:xf>
    <s:xf numFmtId="166" fillId="5" borderId="6" applyNumberFormat="1" applyFill="1" applyBorder="1" applyAlignment="1">
      <s:alignment horizontal="right" vertical="bottom" wrapText="1" vyd:clipText="0" mc:Ignorable="vyd"/>
    </s:xf>
    <s:xf numFmtId="164" fillId="6" borderId="6" applyNumberFormat="1" applyFill="1" applyBorder="1" applyAlignment="1">
      <s:alignment horizontal="right" vertical="bottom" wrapText="1" vyd:clipText="0" mc:Ignorable="vyd"/>
    </s:xf>
    <s:xf numFmtId="166" fillId="6" borderId="6" applyNumberFormat="1" applyFill="1" applyBorder="1" applyAlignment="1">
      <s:alignment horizontal="right" vertical="bottom" wrapText="1" vyd:clipText="0" mc:Ignorable="vyd"/>
    </s:xf>
    <s:xf fontId="1" fillId="5" borderId="7" applyFont="1" applyFill="1" applyBorder="1" applyAlignment="1">
      <s:alignment horizontal="center" vertical="center" wrapText="1" vyd:clipText="0" mc:Ignorable="vyd"/>
    </s:xf>
    <s:xf fontId="1" fillId="5" borderId="8" applyFont="1" applyFill="1" applyBorder="1" applyAlignment="1">
      <s:alignment horizontal="center" vertical="center" wrapText="1" vyd:clipText="0" mc:Ignorable="vyd"/>
    </s:xf>
    <s:xf fontId="1" fillId="5" borderId="9" applyFont="1" applyFill="1" applyBorder="1" applyAlignment="1">
      <s:alignment horizontal="center" vertical="center" wrapText="1" vyd:clipText="0" mc:Ignorable="vyd"/>
    </s:xf>
    <s:xf fontId="1" fillId="5" borderId="6" applyFont="1" applyFill="1" applyBorder="1" applyAlignment="1">
      <s:alignment vertical="center" wrapText="1" vyd:clipText="0" mc:Ignorable="vyd"/>
    </s:xf>
    <s:xf fillId="5" borderId="10" applyFill="1" applyBorder="1" applyAlignment="1">
      <s:alignment horizontal="left" wrapText="0" vyd:clipText="0" mc:Ignorable="vyd"/>
    </s:xf>
    <s:xf fillId="5" borderId="10" applyFill="1" applyBorder="1" applyAlignment="1">
      <s:alignment wrapText="0" vyd:clipText="0" mc:Ignorable="vyd"/>
    </s:xf>
    <s:xf fillId="5" borderId="11" applyFill="1" applyBorder="1" applyAlignment="1">
      <s:alignment wrapText="0" vyd:clipText="0" mc:Ignorable="vyd"/>
    </s:xf>
    <s:xf fillId="5" borderId="12" applyFill="1" applyBorder="1" applyAlignment="1">
      <s:alignment horizontal="left" wrapText="0" vyd:clipText="0" mc:Ignorable="vyd"/>
    </s:xf>
    <s:xf fillId="5" borderId="6" applyFill="1" applyBorder="1" applyAlignment="1">
      <s:alignment wrapText="0" vyd:clipText="0" mc:Ignorable="vyd"/>
    </s:xf>
    <s:xf fillId="5" borderId="6" applyFill="1" applyBorder="1" applyAlignment="1">
      <s:alignment horizontal="left" wrapText="0" vyd:clipText="0" mc:Ignorable="vyd"/>
    </s:xf>
    <s:xf fontId="2" fillId="5" borderId="7" applyFont="1" applyFill="1" applyBorder="1" applyAlignment="1">
      <s:alignment horizontal="center" vertical="center" wrapText="1" vyd:clipText="0" mc:Ignorable="vyd"/>
    </s:xf>
    <s:xf fontId="2" fillId="5" borderId="8" applyFont="1" applyFill="1" applyBorder="1" applyAlignment="1">
      <s:alignment horizontal="center" vertical="center" wrapText="1" vyd:clipText="0" mc:Ignorable="vyd"/>
    </s:xf>
    <s:xf fontId="2" fillId="5" borderId="9" applyFont="1" applyFill="1" applyBorder="1" applyAlignment="1">
      <s:alignment horizontal="center" vertical="center" wrapText="1" vyd:clipText="0" mc:Ignorable="vyd"/>
    </s:xf>
    <s:xf fontId="3" fillId="5" borderId="7" applyFont="1" applyFill="1" applyBorder="1" applyAlignment="1">
      <s:alignment horizontal="center" vertical="center" wrapText="1" vyd:clipText="0" mc:Ignorable="vyd"/>
    </s:xf>
    <s:xf fontId="3" fillId="5" borderId="8" applyFont="1" applyFill="1" applyBorder="1" applyAlignment="1">
      <s:alignment horizontal="center" vertical="center" wrapText="1" vyd:clipText="0" mc:Ignorable="vyd"/>
    </s:xf>
    <s:xf fontId="3" fillId="5" borderId="9" applyFont="1" applyFill="1" applyBorder="1" applyAlignment="1">
      <s:alignment horizontal="center" vertical="center" wrapText="1" vyd:clipText="0" mc:Ignorable="vyd"/>
    </s:xf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metadata.xml" Type="http://schemas.openxmlformats.org/officeDocument/2006/relationships/sheetMetadata" Id="rId5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cols>
    <s:col min="1" max="1" width="38.711" customWidth="1"/>
    <s:col min="2" max="2" width="20.094" customWidth="1"/>
    <s:col min="3" max="3" width="29.672" customWidth="1"/>
  </s:cols>
  <s:sheetData>
    <s:row r="1" ht="14.25">
      <s:c r="A1" s="46" t="s">
        <s:v>1</s:v>
      </s:c>
      <s:c r="B1" s="46" t="s">
        <s:v>2</s:v>
      </s:c>
      <s:c r="C1" s="46" t="s">
        <s:v>3</s:v>
      </s:c>
      <s:c r="D1" s="46" t="s">
        <s:v>4</s:v>
      </s:c>
      <s:c r="E1" s="46" t="s">
        <s:v>5</s:v>
      </s:c>
      <s:c r="F1" s="46" t="s">
        <s:v>6</s:v>
      </s:c>
    </s:row>
    <s:row r="2" ht="86.25">
      <s:c r="A2" s="86" t="s">
        <s:v>90</s:v>
      </s:c>
      <s:c r="B2" s="58" t="s">
        <s:v>43</s:v>
      </s:c>
      <s:c r="C2" s="58" t="s">
        <s:v>73</s:v>
      </s:c>
      <s:c r="D2" s="64">
        <s:v>1</s:v>
      </s:c>
      <s:c r="E2" s="70">
        <s:v>-276635</s:v>
      </s:c>
      <s:c r="F2" s="70">
        <s:f validation_="true">D2*E2</s:f>
        <s:v>-276635</s:v>
      </s:c>
    </s:row>
    <s:row r="3" ht="170.25">
      <s:c r="A3" s="87"/>
      <s:c r="B3" s="58" t="s">
        <s:v>49</s:v>
      </s:c>
      <s:c r="C3" s="58" t="s">
        <s:v>91</s:v>
      </s:c>
      <s:c r="D3" s="64">
        <s:v>1</s:v>
      </s:c>
      <s:c r="E3" s="70">
        <s:v>-145930</s:v>
      </s:c>
      <s:c r="F3" s="70">
        <s:f validation_="true">D3*E3</s:f>
        <s:v>-145930</s:v>
      </s:c>
    </s:row>
    <s:row r="4" ht="38.25">
      <s:c r="A4" s="87"/>
      <s:c r="B4" s="58" t="s">
        <s:v>47</s:v>
      </s:c>
      <s:c r="C4" s="58" t="s">
        <s:v>85</s:v>
      </s:c>
      <s:c r="D4" s="64">
        <s:v>450</s:v>
      </s:c>
      <s:c r="E4" s="70">
        <s:v>-17.33</s:v>
      </s:c>
      <s:c r="F4" s="70">
        <s:f validation_="true">D4*E4</s:f>
        <s:v>-7798.49999999999</s:v>
      </s:c>
    </s:row>
    <s:row r="5" ht="26.25">
      <s:c r="A5" s="87"/>
      <s:c r="B5" s="58" t="s">
        <s:v>53</s:v>
      </s:c>
      <s:c r="C5" s="58" t="s">
        <s:v>87</s:v>
      </s:c>
      <s:c r="D5" s="64">
        <s:v>1</s:v>
      </s:c>
      <s:c r="E5" s="70">
        <s:v>-12403</s:v>
      </s:c>
      <s:c r="F5" s="70">
        <s:f validation_="true">D5*E5</s:f>
        <s:v>-12403</s:v>
      </s:c>
    </s:row>
    <s:row r="6" ht="14.25">
      <s:c r="A6" s="87"/>
      <s:c r="B6" s="58" t="s">
        <s:v>55</s:v>
      </s:c>
      <s:c r="C6" s="77" t="s">
        <s:v>81</s:v>
      </s:c>
      <s:c r="D6" s="64">
        <s:v>1</s:v>
      </s:c>
      <s:c r="E6" s="70">
        <s:v>-99118</s:v>
      </s:c>
      <s:c r="F6" s="70">
        <s:f validation_="true">D6*E6</s:f>
        <s:v>-99118</s:v>
      </s:c>
    </s:row>
    <s:row r="7" ht="26.25">
      <s:c r="A7" s="87"/>
      <s:c r="B7" s="58" t="s">
        <s:v>82</s:v>
      </s:c>
      <s:c r="C7" s="58"/>
      <s:c r="D7" s="64">
        <s:v>4</s:v>
      </s:c>
      <s:c r="E7" s="70">
        <s:v>-6800</s:v>
      </s:c>
      <s:c r="F7" s="70">
        <s:f validation_="true">D7*E7</s:f>
        <s:v>-27200</s:v>
      </s:c>
    </s:row>
    <s:row r="8" ht="14.25">
      <s:c r="A8" s="87"/>
      <s:c r="B8" s="58"/>
      <s:c r="C8" s="58"/>
      <s:c r="D8" s="64"/>
      <s:c r="E8" s="70"/>
      <s:c r="F8" s="70"/>
    </s:row>
    <s:row r="9" ht="14.25">
      <s:c r="A9" s="87"/>
      <s:c r="B9" s="58"/>
      <s:c r="C9" s="58"/>
      <s:c r="D9" s="64"/>
      <s:c r="E9" s="70"/>
      <s:c r="F9" s="70"/>
    </s:row>
    <s:row r="10" ht="14.25">
      <s:c r="A10" s="87"/>
      <s:c r="B10" s="58"/>
      <s:c r="C10" s="58"/>
      <s:c r="D10" s="64"/>
      <s:c r="E10" s="57"/>
      <s:c r="F10" s="70">
        <s:f validation_="true">SUM(F2:F9)</s:f>
        <s:v>-569084.5</s:v>
      </s:c>
    </s:row>
    <s:row r="11" ht="14.25">
      <s:c r="A11" s="88"/>
      <s:c r="B11" s="58"/>
      <s:c r="C11" s="58"/>
      <s:c r="D11" s="64"/>
      <s:c r="E11" s="57"/>
      <s:c r="F11" s="57"/>
    </s:row>
    <s:row r="12" ht="14.25">
      <s:c r="A12" s="60" t="s">
        <s:v>17</s:v>
      </s:c>
      <s:c r="B12" s="61">
        <s:v/>
      </s:c>
      <s:c r="C12" s="61">
        <s:v/>
      </s:c>
      <s:c r="D12" s="61">
        <s:v/>
      </s:c>
      <s:c r="E12" s="62"/>
      <s:c r="F12" s="72">
        <s:f validation_="true">SUM(F2:F9)</s:f>
        <s:v>-569084.5</s:v>
      </s:c>
    </s:row>
    <s:row r="13">
      <s:c r="F13">
        <s:v/>
      </s:c>
    </s:row>
    <s:row r="14">
      <s:c r="F14">
        <s:v/>
      </s:c>
    </s:row>
    <s:row r="15">
      <s:c r="F15">
        <s:v/>
      </s:c>
    </s:row>
    <s:row r="16">
      <s:c r="F16">
        <s:v/>
      </s:c>
    </s:row>
    <s:row r="17">
      <s:c r="F17">
        <s:v/>
      </s:c>
    </s:row>
    <s:row r="18">
      <s:c r="F18">
        <s:v/>
      </s:c>
    </s:row>
    <s:row r="19">
      <s:c r="F19">
        <s:v/>
      </s:c>
    </s:row>
    <s:row r="20">
      <s:c r="F20">
        <s:v/>
      </s:c>
    </s:row>
    <s:row r="21">
      <s:c r="F21">
        <s:v/>
      </s:c>
    </s:row>
    <s:row r="22">
      <s:c r="F22">
        <s:v/>
      </s:c>
    </s:row>
  </s:sheetData>
  <s:mergeCells count="1">
    <s:mergeCell ref="A2:A11"/>
  </s:mergeCells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:creator/>
  <cp:lastModifiedBy/>
  <dcterms:created xsi:type="dcterms:W3CDTF">2024-11-07T07:51:35Z</dcterms:created>
  <dcterms:modified xsi:type="dcterms:W3CDTF">2024-11-07T07:54:26Z</dcterms:modified>
</cp:coreProperties>
</file>