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metadata.xml><?xml version="1.0" encoding="utf-8"?>
<s:metadata xmlns:xda="http://schemas.microsoft.com/office/spreadsheetml/2017/dynamicarray" xmlns:s="http://schemas.openxmlformats.org/spreadsheetml/2006/main">
  <s:metadataTypes count="1">
    <s:metadataType name="XLDAPR" minSupportedVersion="120000" copy="1" pasteAll="1" pasteValues="1" merge="1" splitFirst="1" rowColShift="1" clearFormats="1" clearComments="1" assign="1" coerce="1" cellMeta="1"/>
  </s:metadataTypes>
  <s:futureMetadata name="XLDAPR" count="1">
    <s:bk>
      <s:extLst>
        <s:ext uri="{bdbb8cdc-fa1e-496e-a857-3c3f30c029c3}">
          <xda:dynamicArrayProperties fDynamic="1" fCollapsed="0"/>
        </s:ext>
      </s:extLst>
    </s:bk>
  </s:futureMetadata>
  <s:cellMetadata count="1">
    <s:bk>
      <s:rc t="1" v="0"/>
    </s:bk>
  </s:cellMetadata>
</s:metadata>
</file>

<file path=xl/sharedStrings.xml><?xml version="1.0" encoding="utf-8"?>
<s:sst xmlns:s="http://schemas.openxmlformats.org/spreadsheetml/2006/main">
  <s:si>
    <s:t>Месяц</s:t>
  </s:si>
  <s:si>
    <s:t>Активность</s:t>
  </s:si>
  <s:si>
    <s:t>Статья расхода</s:t>
  </s:si>
  <s:si>
    <s:t>Описание</s:t>
  </s:si>
  <s:si>
    <s:t>Кол-во</s:t>
  </s:si>
  <s:si>
    <s:t>Цена за ед.</s:t>
  </s:si>
  <s:si>
    <s:t>Сумма</s:t>
  </s:si>
  <s:si>
    <s:t>Примечание</s:t>
  </s:si>
  <s:si>
    <s:t>Январь</s:t>
  </s:si>
  <s:si>
    <s:t>Программы</s:t>
  </s:si>
  <s:si>
    <s:t>PressFeed</s:t>
  </s:si>
  <s:si>
    <s:t>онлайн-сервис в сфере медиа и PR, который упрощает взаимодействие между журналистами и экспертами.</s:t>
  </s:si>
  <s:si>
    <s:t>р.25 000</s:t>
  </s:si>
  <s:si>
    <s:t>Блогеры</s:t>
  </s:si>
  <s:si>
    <s:t>Даша Пешкова</s:t>
  </s:si>
  <s:si>
    <s:t>Реклама в блоге Youtube</s:t>
  </s:si>
  <s:si>
    <s:t>р.60 000</s:t>
  </s:si>
  <s:si>
    <s:t>Итого:</s:t>
  </s:si>
  <s:si>
    <s:t>р.85 000</s:t>
  </s:si>
  <s:si>
    <s:t>Февраль</s:t>
  </s:si>
  <s:si>
    <s:t>Выставка "Образование и карьера"</s:t>
  </s:si>
  <s:si>
    <s:t>Аренда</s:t>
  </s:si>
  <s:si>
    <s:t>Место на выставке</s:t>
  </s:si>
  <s:si>
    <s:t>р.177 030</s:t>
  </s:si>
  <s:si>
    <s:t>Публикация в каталоге</s:t>
  </s:si>
  <s:si>
    <s:t>А5, цвет, приоритет</s:t>
  </s:si>
  <s:si>
    <s:t>р.7 560</s:t>
  </s:si>
  <s:si>
    <s:t>Стенд</s:t>
  </s:si>
  <s:si>
    <s:t>Изготовление двустороннего стенда</s:t>
  </s:si>
  <s:si>
    <s:t>р.245 900</s:t>
  </s:si>
  <s:si>
    <s:t>Юридические услуги</s:t>
  </s:si>
  <s:si>
    <s:t>Валерия Рытвина</s:t>
  </s:si>
  <s:si>
    <s:t>Консультация</s:t>
  </s:si>
  <s:si>
    <s:t>р.15 000</s:t>
  </s:si>
  <s:si>
    <s:t>Дисклеймер</s:t>
  </s:si>
  <s:si>
    <s:t>р.12 000</s:t>
  </s:si>
  <s:si>
    <s:t>Николай Жаринов</s:t>
  </s:si>
  <s:si>
    <s:t>Реклама в блоге Rutube</s:t>
  </s:si>
  <s:si>
    <s:t>р.130 000</s:t>
  </s:si>
  <s:si>
    <s:t>Хидэ Масуи</s:t>
  </s:si>
  <s:si>
    <s:t>Консультант по Японии. Блогер</s:t>
  </s:si>
  <s:si>
    <s:t>р.10 000</s:t>
  </s:si>
  <s:si>
    <s:t>р.587 490</s:t>
  </s:si>
  <s:si>
    <s:t>Лефлеты</s:t>
  </s:si>
  <s:si>
    <s:t>Костюмы</s:t>
  </s:si>
  <s:si>
    <s:t>Ведущие</s:t>
  </s:si>
  <s:si>
    <s:t>Выступление на выставке</s:t>
  </s:si>
  <s:si>
    <s:t>Конфеты</s:t>
  </s:si>
  <s:si>
    <s:t>Стол</s:t>
  </s:si>
  <s:si>
    <s:t>Стол и стулья</s:t>
  </s:si>
  <s:si>
    <s:t>Лефлеты и доставка</s:t>
  </s:si>
  <s:si>
    <s:t>Доставка</s:t>
  </s:si>
  <s:si>
    <s:t>Туда</s:t>
  </s:si>
  <s:si>
    <s:t>Обратно</s:t>
  </s:si>
  <s:si>
    <s:t>Статья дохода</s:t>
  </s:si>
  <s:si>
    <s:t>Продажа</s:t>
  </s:si>
  <s:si>
    <s:t>Игра</s:t>
  </s:si>
  <s:si>
    <s:t>Менеджер</s:t>
  </s:si>
  <s:si>
    <s:t>Где купили</s:t>
  </s:si>
  <s:si>
    <s:t>Процент</s:t>
  </s:si>
  <s:si>
    <s:t>Яндекс.Маркет</s:t>
  </s:si>
  <s:si>
    <s:t>Дипломатия</s:t>
  </s:si>
  <s:si>
    <s:t>WB</s:t>
  </s:si>
  <s:si>
    <s:t>Классика</s:t>
  </s:si>
  <s:si>
    <s:t>Стенд терминал</s:t>
  </s:si>
  <s:si>
    <s:t>Стенд наличные</s:t>
  </s:si>
  <s:si>
    <s:t>ИТОГО:</s:t>
  </s:si>
  <s:si>
    <s:t>Выставка "GOTOVO 2026"</s:t>
  </s:si>
  <s:si>
    <s:t>Космическая еда</s:t>
  </s:si>
  <s:si>
    <s:t>Иван</s:t>
  </s:si>
  <s:si>
    <s:t>Екатерина</s:t>
  </s:si>
  <s:si>
    <s:t>Ольга</s:t>
  </s:si>
  <s:si>
    <s:t>Даня</s:t>
  </s:si>
  <s:si>
    <s:t>Даша</s:t>
  </s:si>
  <s:si>
    <s:t>Красноречие, Красноречие, рекламная пауза, рекламная пауза, гастрономия</s:t>
  </s:si>
  <s:si>
    <s:t>Кто продал?</s:t>
  </s:si>
  <s:si>
    <s:t>Диалекты.Сибирь, Гастрономия, Гастрономия, Классика</s:t>
  </s:si>
  <s:si>
    <s:t>Гастрономия, Дипломатия, Диалекты.Урал, Рекламная пауза, Рекламная пауза, Классика, Диалекты.Дальний Восток.</s:t>
  </s:si>
  <s:si>
    <s:t>Диалекты.Сибирь</s:t>
  </s:si>
  <s:si>
    <s:t>Диалекты.Сибирь, Диалекты.Юг, Рекламная пауза, Живопись, Красноречие</s:t>
  </s:si>
  <s:si>
    <s:t>Стенд SEGframe 50х250 см (комплект в сумке) Ткань с сублимационной печатью и подшивкой силиконового шнура 300х250 см Ткань с сублимационной печатью и подшивкой силиконового шнура 200х250 см Буклетница А5 4 кармана</s:t>
  </s:si>
  <s:si>
    <s:t>Шлем</s:t>
  </s:si>
  <s:si>
    <s:t>Трубка для шлема</s:t>
  </s:si>
  <s:si>
    <s:t>GOTOVO 2026</s:t>
  </s:si>
  <s:si>
    <s:t>5 человек</s:t>
  </s:si>
  <s:si>
    <s:t>1 шлем с доставкой +3000руб.</s:t>
  </s:si>
  <s:si>
    <s:t>1 шлем с доставкой -3000руб.</s:t>
  </s:si>
  <s:si>
    <s:t>С доставкой -3000руб.</s:t>
  </s:si>
  <s:si>
    <s:t>Шлем - 15000руб., доставка -3000руб.</s:t>
  </s:si>
  <s:si>
    <s:t>Шлем - 15000руб., доставка -3793 руб.</s:t>
  </s:si>
  <s:si>
    <s:t>Гофрированная труба для соединения шлема с ресепшеном</s:t>
  </s:si>
  <s:si>
    <s:t>Лифлеты и доставка</s:t>
  </s:si>
  <s:si>
    <s:t>Игра "Потолкуем?"</s:t>
  </s:si>
  <s:si>
    <s:t>Данил</s:t>
  </s:si>
  <s:si>
    <s:t>Дарья</s:t>
  </s:si>
  <s:si>
    <s:t>Аренда площадки</s:t>
  </s:si>
  <s:si>
    <s:t xml:space="preserve">Стенд </s:t>
  </s:si>
  <s:si>
    <s:t>Производство стенда</s:t>
  </s:si>
  <s:si>
    <s:t xml:space="preserve">Скафандры </s:t>
  </s:si>
  <s:si>
    <s:t>"Вино голова " 300 шт.
"Холодильник" 300 шт.
"Гастро" 300шт.
"Гастрономия" 300 шт.</s:t>
  </s:si>
  <s:si>
    <s:t>"Вино голова " 300 шт.
"Холодильник" 300 шт.
"Гастро" 300 шт.
"Гастрономия" 300 шт.</s:t>
  </s:si>
  <s:si>
    <s:t>Игры "Потолкуем?" , продажи</s:t>
  </s:si>
  <s:si>
    <s:r>
      <s:rPr>
        <s:i val="1"/>
        <s:u val="single"/>
        <s:vertAlign val="baseline"/>
        <s:scheme val="minor"/>
      </s:rPr>
      <s:t>Игры "Потолкуем?" , продажи</s:t>
    </s:r>
  </s:si>
  <s:si>
    <s:t>Красноречие, Красноречие, рекламная пауза, рекламная пауза, Гастрономия</s:t>
  </s:si>
  <s:si>
    <s:t>Красноречие -2 шт.
Рекламная пауза -2 шт.
Гастрономия-1 шт.</s:t>
  </s:si>
  <s:si>
    <s:t>Диалекты1 шт.
Сибирь-1 шт.
Гастрономия-2 шт.
Классика-1 шт.</s:t>
  </s:si>
  <s:si>
    <s:t>Гастрономия-1 шт.
Дипломатия, Диалекты.Урал, Рекламная пауза, Рекламная пауза, Классика, Диалекты.Дальний Восток.</s:t>
  </s:si>
  <s:si>
    <s:t>Гастрономия-1 шт.
Дипломатия-1 шт.
Диалекты Урал-1 шт.
Рекламная пауза-2 шт.
Классика-1 шт. 
Диалекты.Дальний Восток.-1 шт.</s:t>
  </s:si>
  <s:si>
    <s:t>Гастрономия -1 шт.
Дипломатия -1 шт.
Диалекты Урал -1 шт.
Рекламная пауза -2 шт.
Классика -1 шт. 
Диалекты.Дальний Восток -1 шт.</s:t>
  </s:si>
  <s:si>
    <s:t>Диалекты.Сибирь-1 шт.
Диалекты.Юг-1 шт.
Рекламная пауза-1 шт.
Живопись-1 шт.
Красноречие-1 шт.</s:t>
  </s:si>
  <s:si>
    <s:t>Диалекты-1 шт.
Сибирь-1 шт.
Гастрономия-2 шт.
Классика-1 шт.</s:t>
  </s:si>
  <s:si>
    <s:t>Диалекты.Сибирь -1 шт.
Диалекты.Юг-1 шт.
Рекламная пауза-1 шт.
Живопись-1 шт.
Красноречие-1 шт.</s:t>
  </s:si>
  <s:si>
    <s:t>Диалекты.Сибирь -1 шт.
Диалекты.Юг -1 шт.
Рекламная пауза -1 шт.
Живопись-1 шт.
Красноречие-1 шт.</s:t>
  </s:si>
  <s:si>
    <s:t>Диалекты.Сибирь -1 шт.
Диалекты.Юг -1 шт.
Рекламная пауза -1 шт.
Живопись-1 шт.
Красноречие -1 шт.</s:t>
  </s:si>
  <s:si>
    <s:t>Стенд SEGframe 50х250 см (комплект в сумке) 
Ткань с сублимационной печатью и подшивкой силиконового шнура 300х250 см Ткань с сублимационной печатью и подшивкой силиконового шнура 200х250 см Буклетница А5 4 кармана</s:t>
  </s:si>
  <s:si>
    <s:t>Стенд SEGframe 50х250 см (комплект в сумке) 
Ткань с сублимационной печатью и подшивкой силиконового шнура 300х250 см 
Ткань с сублимационной печатью и подшивкой силиконового шнура 200х250 см 
Буклетница А5 4 кармана</s:t>
  </s:si>
  <s:si>
    <s:t xml:space="preserve">5 человек </s:t>
  </s:si>
  <s:si>
    <s:t>5 человек (выход+%)</s:t>
  </s:si>
  <s:si>
    <s:t>5 человек (выход+kpi)</s:t>
  </s:si>
  <s:si>
    <s:t>Шлем - 15000 руб., доставка -3793 руб.</s:t>
  </s:si>
  <s:si>
    <s:t>GOTOVO 2026
с 24.03 по 27.03</s:t>
  </s:si>
  <s:si>
    <s:t>Шлем - 15 000 руб., доставка -3 793 руб.</s:t>
  </s:si>
  <s:si>
    <s:t>Рх,a ₽</s:t>
  </s:si>
  <s:si>
    <s:t>Диалекты-1 шт.
Сибирь-1 шт.
Гастрономия- 2 шт.
Классика-1 шт.</s:t>
  </s:si>
  <s:si>
    <s:t>=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</s:si>
</s:sst>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2">
    <s:numFmt numFmtId="164" formatCode="#,##0.00 [$₽-419]"/>
    <s:numFmt numFmtId="165" formatCode="#,##0.00 [$₽-419];[Red]-#,##0.00 [$₽-419]"/>
  </s:numFmts>
  <s:fonts count="9">
    <s:font>
      <s:name val="Arial"/>
      <s:family val="2"/>
      <s:color theme="1"/>
      <s:sz val="10"/>
    </s:font>
    <s:font>
      <s:b val="1"/>
    </s:font>
    <s:font>
      <s:color rgb="FFFFFFFF"/>
    </s:font>
    <s:font>
      <s:name val="Arial"/>
      <s:family val="2"/>
      <s:color rgb="FFFFFFFF"/>
      <s:sz val="10"/>
    </s:font>
    <s:font>
      <s:b val="1"/>
      <s:sz val="11"/>
    </s:font>
    <s:font>
      <s:b val="1"/>
      <s:sz val="12"/>
    </s:font>
    <s:font>
      <s:b val="1"/>
      <s:sz val="14"/>
    </s:font>
    <s:font>
      <s:b val="1"/>
      <s:sz val="16"/>
    </s:font>
    <s:font>
      <s:b val="1"/>
      <s:sz val="18"/>
    </s:font>
  </s:fonts>
  <s:fills count="7">
    <s:fill>
      <s:patternFill patternType="none"/>
    </s:fill>
    <s:fill>
      <s:patternFill patternType="gray125"/>
    </s:fill>
    <s:fill>
      <s:patternFill patternType="solid">
        <s:fgColor rgb="FFC9DAF8"/>
      </s:patternFill>
    </s:fill>
    <s:fill>
      <s:patternFill patternType="solid">
        <s:fgColor rgb="FFEAD1DC"/>
      </s:patternFill>
    </s:fill>
    <s:fill>
      <s:patternFill patternType="solid">
        <s:fgColor rgb="FFFFF2CC"/>
      </s:patternFill>
    </s:fill>
    <s:fill>
      <s:patternFill patternType="solid">
        <s:fgColor rgb="FFCFE2F3"/>
      </s:patternFill>
    </s:fill>
    <s:fill>
      <s:patternFill patternType="solid">
        <s:fgColor rgb="FFF3F3F3"/>
      </s:patternFill>
    </s:fill>
  </s:fills>
  <s:borders count="16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  <s:bottom style="thin"/>
    </s:border>
    <s:border>
      <s:bottom style="thin"/>
    </s:border>
    <s:border>
      <s:right style="thin"/>
      <s:bottom style="thin"/>
    </s:border>
  </s:borders>
  <s:cellStyleXfs count="1">
    <s:xf numFmtId="0" fontId="0" fillId="0" borderId="0"/>
  </s:cellStyleXfs>
  <s:cellXfs count="105">
    <s:xf numFmtId="0" fontId="0" fillId="0" borderId="0" xfId="0"/>
    <s:xf fontId="1" fillId="2" borderId="1" applyFont="1" applyFill="1" applyBorder="1" applyAlignment="1">
      <s:alignment horizontal="center" vertical="center" wrapText="0" vyd:clipText="0" mc:Ignorable="vyd"/>
    </s:xf>
    <s:xf fontId="1" fillId="2" borderId="2" applyFont="1" applyFill="1" applyBorder="1" applyAlignment="1">
      <s:alignment horizontal="center" vertical="center" wrapText="0" vyd:clipText="0" mc:Ignorable="vyd"/>
    </s:xf>
    <s:xf fontId="1" borderId="3" applyFont="1" applyBorder="1" applyAlignment="1">
      <s:alignment horizontal="center" vertical="center" wrapText="0" vyd:clipText="1" mc:Ignorable="vyd"/>
    </s:xf>
    <s:xf fontId="1" fillId="3" borderId="4" applyFont="1" applyFill="1" applyBorder="1" applyAlignment="1">
      <s:alignment horizontal="center" vertical="center" wrapText="0" vyd:clipText="0" mc:Ignorable="vyd"/>
    </s:xf>
    <s:xf fillId="3" borderId="4" applyFill="1" applyBorder="1" applyAlignment="1">
      <s:alignment vertical="bottom" wrapText="0" vyd:clipText="1" mc:Ignorable="vyd"/>
    </s:xf>
    <s:xf fillId="3" borderId="4" applyFill="1" applyBorder="1" applyAlignment="1">
      <s:alignment vertical="bottom" wrapText="0" vyd:clipText="0" mc:Ignorable="vyd"/>
    </s:xf>
    <s:xf fillId="3" borderId="4" applyFill="1" applyBorder="1" applyAlignment="1">
      <s:alignment horizontal="center" vertical="bottom" wrapText="0" vyd:clipText="1" mc:Ignorable="vyd"/>
    </s:xf>
    <s:xf fillId="3" borderId="4" applyFill="1" applyBorder="1" applyAlignment="1">
      <s:alignment horizontal="right" vertical="bottom" wrapText="0" vyd:clipText="1" mc:Ignorable="vyd"/>
    </s:xf>
    <s:xf fontId="1" fillId="4" borderId="4" applyFont="1" applyFill="1" applyBorder="1" applyAlignment="1">
      <s:alignment horizontal="center" vertical="center" wrapText="0" vyd:clipText="1" mc:Ignorable="vyd"/>
    </s:xf>
    <s:xf fillId="4" borderId="4" applyFill="1" applyBorder="1" applyAlignment="1">
      <s:alignment vertical="bottom" wrapText="0" vyd:clipText="1" mc:Ignorable="vyd"/>
    </s:xf>
    <s:xf fillId="4" borderId="4" applyFill="1" applyBorder="1" applyAlignment="1">
      <s:alignment horizontal="center" vertical="bottom" wrapText="0" vyd:clipText="1" mc:Ignorable="vyd"/>
    </s:xf>
    <s:xf fillId="4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horizontal="right" vertical="bottom" wrapText="0" vyd:clipText="1" mc:Ignorable="vyd"/>
    </s:xf>
    <s:xf fillId="5" borderId="4" applyFill="1" applyBorder="1" applyAlignment="1">
      <s:alignment vertical="bottom" wrapText="0" vyd:clipText="1" mc:Ignorable="vyd"/>
    </s:xf>
    <s:xf borderId="3" applyBorder="1" applyAlignment="1">
      <s:alignment vertical="center" wrapText="0" vyd:clipText="1" mc:Ignorable="vyd"/>
    </s:xf>
    <s:xf fontId="1" fillId="6" borderId="4" applyFont="1" applyFill="1" applyBorder="1" applyAlignment="1">
      <s:alignment horizontal="center" vertical="center" wrapText="0" vyd:clipText="1" mc:Ignorable="vyd"/>
    </s:xf>
    <s:xf fillId="6" borderId="4" applyFill="1" applyBorder="1" applyAlignment="1">
      <s:alignment vertical="bottom" wrapText="0" vyd:clipText="1" mc:Ignorable="vyd"/>
    </s:xf>
    <s:xf fillId="6" borderId="4" applyFill="1" applyBorder="1" applyAlignment="1">
      <s:alignment horizontal="right" vertical="bottom" wrapText="0" vyd:clipText="1" mc:Ignorable="vyd"/>
    </s:xf>
    <s:xf fontId="1" fillId="5" borderId="4" applyFont="1" applyFill="1" applyBorder="1" applyAlignment="1">
      <s:alignment horizontal="center" vertical="center" wrapText="0" vyd:clipText="0" mc:Ignorable="vyd"/>
    </s:xf>
    <s:xf fillId="5" borderId="4" applyFill="1" applyBorder="1" applyAlignment="1">
      <s:alignment horizontal="center" vertical="bottom" wrapText="0" vyd:clipText="1" mc:Ignorable="vyd"/>
    </s:xf>
    <s:xf borderId="4" applyBorder="1" applyAlignment="1">
      <s:alignment vertical="bottom" wrapText="0" vyd:clipText="1" mc:Ignorable="vyd"/>
    </s:xf>
    <s:xf fontId="1" fillId="4" borderId="4" applyFont="1" applyFill="1" applyBorder="1" applyAlignment="1">
      <s:alignment horizontal="center" vertical="center" wrapText="0" vyd:clipText="0" mc:Ignorable="vyd"/>
    </s:xf>
    <s:xf borderId="5" applyBorder="1" applyAlignment="1">
      <s:alignment vertical="center" wrapText="0" vyd:clipText="1" mc:Ignorable="vyd"/>
    </s:xf>
    <s:xf fontId="1" fillId="2" borderId="6" applyFont="1" applyFill="1" applyBorder="1" applyAlignment="1">
      <s:alignment horizontal="center" vertical="center" wrapText="0" vyd:clipText="0" mc:Ignorable="vyd"/>
    </s:xf>
    <s:xf fontId="1" borderId="6" applyFont="1" applyBorder="1" applyAlignment="1">
      <s:alignment horizontal="center" vertical="center" wrapText="0" vyd:clipText="1" mc:Ignorable="vyd"/>
    </s:xf>
    <s:xf fontId="1" fillId="3" borderId="6" applyFont="1" applyFill="1" applyBorder="1" applyAlignment="1">
      <s:alignment horizontal="center" vertical="center" wrapText="0" vyd:clipText="0" mc:Ignorable="vyd"/>
    </s:xf>
    <s:xf fillId="3" borderId="6" applyFill="1" applyBorder="1" applyAlignment="1">
      <s:alignment vertical="bottom" wrapText="0" vyd:clipText="1" mc:Ignorable="vyd"/>
    </s:xf>
    <s:xf fillId="3" borderId="6" applyFill="1" applyBorder="1" applyAlignment="1">
      <s:alignment vertical="bottom" wrapText="0" vyd:clipText="0" mc:Ignorable="vyd"/>
    </s:xf>
    <s:xf fillId="3" borderId="6" applyFill="1" applyBorder="1" applyAlignment="1">
      <s:alignment horizontal="center" vertical="bottom" wrapText="0" vyd:clipText="1" mc:Ignorable="vyd"/>
    </s:xf>
    <s:xf fillId="3" borderId="6" applyFill="1" applyBorder="1" applyAlignment="1">
      <s:alignment horizontal="right" vertical="bottom" wrapText="0" vyd:clipText="1" mc:Ignorable="vyd"/>
    </s:xf>
    <s:xf borderId="6" applyBorder="1"/>
    <s:xf fontId="1" fillId="4" borderId="6" applyFont="1" applyFill="1" applyBorder="1" applyAlignment="1">
      <s:alignment horizontal="center" vertical="center" wrapText="0" vyd:clipText="1" mc:Ignorable="vyd"/>
    </s:xf>
    <s:xf fillId="4" borderId="6" applyFill="1" applyBorder="1" applyAlignment="1">
      <s:alignment vertical="bottom" wrapText="0" vyd:clipText="1" mc:Ignorable="vyd"/>
    </s:xf>
    <s:xf fillId="4" borderId="6" applyFill="1" applyBorder="1" applyAlignment="1">
      <s:alignment horizontal="center" vertical="bottom" wrapText="0" vyd:clipText="1" mc:Ignorable="vyd"/>
    </s:xf>
    <s:xf fillId="4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horizontal="right" vertical="bottom" wrapText="0" vyd:clipText="1" mc:Ignorable="vyd"/>
    </s:xf>
    <s:xf fillId="5" borderId="6" applyFill="1" applyBorder="1" applyAlignment="1">
      <s:alignment vertical="bottom" wrapText="0" vyd:clipText="1" mc:Ignorable="vyd"/>
    </s:xf>
    <s:xf borderId="6" applyBorder="1" applyAlignment="1">
      <s:alignment vertical="center" wrapText="0" vyd:clipText="1" mc:Ignorable="vyd"/>
    </s:xf>
    <s:xf fontId="1" fillId="6" borderId="6" applyFont="1" applyFill="1" applyBorder="1" applyAlignment="1">
      <s:alignment horizontal="center" vertical="center" wrapText="0" vyd:clipText="1" mc:Ignorable="vyd"/>
    </s:xf>
    <s:xf fillId="6" borderId="6" applyFill="1" applyBorder="1" applyAlignment="1">
      <s:alignment vertical="bottom" wrapText="0" vyd:clipText="1" mc:Ignorable="vyd"/>
    </s:xf>
    <s:xf fillId="6" borderId="6" applyFill="1" applyBorder="1" applyAlignment="1">
      <s:alignment horizontal="right" vertical="bottom" wrapText="0" vyd:clipText="1" mc:Ignorable="vyd"/>
    </s:xf>
    <s:xf fontId="1" fillId="5" borderId="6" applyFont="1" applyFill="1" applyBorder="1" applyAlignment="1">
      <s:alignment horizontal="center" vertical="center" wrapText="0" vyd:clipText="0" mc:Ignorable="vyd"/>
    </s:xf>
    <s:xf fillId="5" borderId="6" applyFill="1" applyBorder="1" applyAlignment="1">
      <s:alignment horizontal="center" vertical="bottom" wrapText="0" vyd:clipText="1" mc:Ignorable="vyd"/>
    </s:xf>
    <s:xf borderId="6" applyBorder="1" applyAlignment="1">
      <s:alignment vertical="bottom" wrapText="0" vyd:clipText="1" mc:Ignorable="vyd"/>
    </s:xf>
    <s:xf fontId="1" fillId="4" borderId="6" applyFont="1" applyFill="1" applyBorder="1" applyAlignment="1">
      <s:alignment horizontal="center" vertical="center" wrapText="0" vyd:clipText="0" mc:Ignorable="vyd"/>
    </s:xf>
    <s:xf fontId="1" fillId="2" borderId="6" applyFont="1" applyFill="1" applyBorder="1" applyAlignment="1">
      <s:alignment horizontal="center" vertical="center" wrapText="1" vyd:clipText="0" mc:Ignorable="vyd"/>
    </s:xf>
    <s:xf fontId="1" borderId="6" applyFont="1" applyBorder="1" applyAlignment="1">
      <s:alignment horizontal="center" vertical="center" wrapText="1" vyd:clipText="0" mc:Ignorable="vyd"/>
    </s:xf>
    <s:xf fontId="1" fillId="3" borderId="6" applyFont="1" applyFill="1" applyBorder="1" applyAlignment="1">
      <s:alignment horizontal="center" vertical="center" wrapText="1" vyd:clipText="0" mc:Ignorable="vyd"/>
    </s:xf>
    <s:xf fillId="3" borderId="6" applyFill="1" applyBorder="1" applyAlignment="1">
      <s:alignment vertical="bottom" wrapText="1" vyd:clipText="0" mc:Ignorable="vyd"/>
    </s:xf>
    <s:xf fillId="3" borderId="6" applyFill="1" applyBorder="1" applyAlignment="1">
      <s:alignment horizontal="center" vertical="bottom" wrapText="1" vyd:clipText="0" mc:Ignorable="vyd"/>
    </s:xf>
    <s:xf fillId="3" borderId="6" applyFill="1" applyBorder="1" applyAlignment="1">
      <s:alignment horizontal="right" vertical="bottom" wrapText="1" vyd:clipText="0" mc:Ignorable="vyd"/>
    </s:xf>
    <s:xf borderId="6" applyBorder="1" applyAlignment="1">
      <s:alignment wrapText="1" vyd:clipText="0" mc:Ignorable="vyd"/>
    </s:xf>
    <s:xf fontId="1" fillId="4" borderId="6" applyFont="1" applyFill="1" applyBorder="1" applyAlignment="1">
      <s:alignment horizontal="center" vertical="center" wrapText="1" vyd:clipText="0" mc:Ignorable="vyd"/>
    </s:xf>
    <s:xf fillId="4" borderId="6" applyFill="1" applyBorder="1" applyAlignment="1">
      <s:alignment vertical="bottom" wrapText="1" vyd:clipText="0" mc:Ignorable="vyd"/>
    </s:xf>
    <s:xf fillId="4" borderId="6" applyFill="1" applyBorder="1" applyAlignment="1">
      <s:alignment horizontal="center" vertical="bottom" wrapText="1" vyd:clipText="0" mc:Ignorable="vyd"/>
    </s:xf>
    <s:xf fillId="4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horizontal="right" vertical="bottom" wrapText="1" vyd:clipText="0" mc:Ignorable="vyd"/>
    </s:xf>
    <s:xf fillId="5" borderId="6" applyFill="1" applyBorder="1" applyAlignment="1">
      <s:alignment vertical="bottom" wrapText="1" vyd:clipText="0" mc:Ignorable="vyd"/>
    </s:xf>
    <s:xf borderId="6" applyBorder="1" applyAlignment="1">
      <s:alignment vertical="center" wrapText="1" vyd:clipText="0" mc:Ignorable="vyd"/>
    </s:xf>
    <s:xf fontId="1" fillId="6" borderId="6" applyFont="1" applyFill="1" applyBorder="1" applyAlignment="1">
      <s:alignment horizontal="center" vertical="center" wrapText="1" vyd:clipText="0" mc:Ignorable="vyd"/>
    </s:xf>
    <s:xf fillId="6" borderId="6" applyFill="1" applyBorder="1" applyAlignment="1">
      <s:alignment vertical="bottom" wrapText="1" vyd:clipText="0" mc:Ignorable="vyd"/>
    </s:xf>
    <s:xf fillId="6" borderId="6" applyFill="1" applyBorder="1" applyAlignment="1">
      <s:alignment horizontal="right" vertical="bottom" wrapText="1" vyd:clipText="0" mc:Ignorable="vyd"/>
    </s:xf>
    <s:xf fontId="1" fillId="5" borderId="6" applyFont="1" applyFill="1" applyBorder="1" applyAlignment="1">
      <s:alignment horizontal="center" vertical="center" wrapText="1" vyd:clipText="0" mc:Ignorable="vyd"/>
    </s:xf>
    <s:xf fillId="5" borderId="6" applyFill="1" applyBorder="1" applyAlignment="1">
      <s:alignment horizontal="center" vertical="bottom" wrapText="1" vyd:clipText="0" mc:Ignorable="vyd"/>
    </s:xf>
    <s:xf borderId="6" applyBorder="1" applyAlignment="1">
      <s:alignment vertical="bottom" wrapText="1" vyd:clipText="0" mc:Ignorable="vyd"/>
    </s:xf>
    <s:xf fontId="1" fillId="5" borderId="7" applyFont="1" applyFill="1" applyBorder="1" applyAlignment="1">
      <s:alignment horizontal="center" vertical="center" wrapText="1" vyd:clipText="0" mc:Ignorable="vyd"/>
    </s:xf>
    <s:xf fontId="1" fillId="5" borderId="8" applyFont="1" applyFill="1" applyBorder="1" applyAlignment="1">
      <s:alignment horizontal="center" vertical="center" wrapText="1" vyd:clipText="0" mc:Ignorable="vyd"/>
    </s:xf>
    <s:xf fontId="1" fillId="5" borderId="9" applyFont="1" applyFill="1" applyBorder="1" applyAlignment="1">
      <s:alignment horizontal="center" vertical="center" wrapText="1" vyd:clipText="0" mc:Ignorable="vyd"/>
    </s:xf>
    <s:xf fontId="1" fillId="5" borderId="6" applyFont="1" applyFill="1" applyBorder="1" applyAlignment="1">
      <s:alignment vertical="center" wrapText="1" vyd:clipText="0" mc:Ignorable="vyd"/>
    </s:xf>
    <s:xf numFmtId="0" fillId="5" borderId="6" applyNumberFormat="1" applyFill="1" applyBorder="1" applyAlignment="1">
      <s:alignment horizontal="right" vertical="bottom" wrapText="1" vyd:clipText="0" mc:Ignorable="vyd"/>
    </s:xf>
    <s:xf numFmtId="0" fillId="6" borderId="6" applyNumberFormat="1" applyFill="1" applyBorder="1" applyAlignment="1">
      <s:alignment horizontal="right" vertical="bottom" wrapText="1" vyd:clipText="0" mc:Ignorable="vyd"/>
    </s:xf>
    <s:xf numFmtId="164" fillId="5" borderId="6" applyNumberFormat="1" applyFill="1" applyBorder="1" applyAlignment="1">
      <s:alignment horizontal="right" vertical="bottom" wrapText="1" vyd:clipText="0" mc:Ignorable="vyd"/>
    </s:xf>
    <s:xf numFmtId="164" fillId="6" borderId="6" applyNumberFormat="1" applyFill="1" applyBorder="1" applyAlignment="1">
      <s:alignment horizontal="right" vertical="bottom" wrapText="1" vyd:clipText="0" mc:Ignorable="vyd"/>
    </s:xf>
    <s:xf fontId="1" fillId="5" borderId="7" applyFont="1" applyFill="1" applyBorder="1" applyAlignment="1">
      <s:alignment vertical="center" wrapText="1" vyd:clipText="0" mc:Ignorable="vyd"/>
    </s:xf>
    <s:xf fontId="1" fillId="5" borderId="8" applyFont="1" applyFill="1" applyBorder="1" applyAlignment="1">
      <s:alignment vertical="center" wrapText="1" vyd:clipText="0" mc:Ignorable="vyd"/>
    </s:xf>
    <s:xf fontId="1" fillId="5" borderId="9" applyFont="1" applyFill="1" applyBorder="1" applyAlignment="1">
      <s:alignment vertical="center" wrapText="1" vyd:clipText="0" mc:Ignorable="vyd"/>
    </s:xf>
    <s:xf numFmtId="165" fillId="5" borderId="6" applyNumberFormat="1" applyFill="1" applyBorder="1" applyAlignment="1">
      <s:alignment horizontal="right" vertical="bottom" wrapText="1" vyd:clipText="0" mc:Ignorable="vyd"/>
    </s:xf>
    <s:xf numFmtId="165" fillId="6" borderId="6" applyNumberFormat="1" applyFill="1" applyBorder="1" applyAlignment="1">
      <s:alignment horizontal="right" vertical="bottom" wrapText="1" vyd:clipText="0" mc:Ignorable="vyd"/>
    </s:xf>
    <s:xf numFmtId="9" applyNumberFormat="1"/>
    <s:xf numFmtId="164" borderId="6" applyNumberFormat="1" applyBorder="1" applyAlignment="1">
      <s:alignment vertical="bottom" wrapText="1" vyd:clipText="0" mc:Ignorable="vyd"/>
    </s:xf>
    <s:xf fontId="2" applyFont="1"/>
    <s:xf numFmtId="0" fontId="3" fillId="0" borderId="0" xfId="0" applyFont="1"/>
    <s:xf numFmtId="165" borderId="6" applyNumberFormat="1" applyBorder="1" applyAlignment="1">
      <s:alignment vertical="bottom" wrapText="1" vyd:clipText="0" mc:Ignorable="vyd"/>
    </s:xf>
    <s:xf applyAlignment="1">
      <s:alignment horizontal="center" mc:Ignorable="vyd"/>
    </s:xf>
    <s:xf borderId="10" applyBorder="1" applyAlignment="1">
      <s:alignment horizontal="center" mc:Ignorable="vyd"/>
    </s:xf>
    <s:xf borderId="11" applyBorder="1" applyAlignment="1">
      <s:alignment horizontal="center" mc:Ignorable="vyd"/>
    </s:xf>
    <s:xf borderId="11" applyBorder="1"/>
    <s:xf borderId="12" applyBorder="1"/>
    <s:xf borderId="13" applyBorder="1"/>
    <s:xf borderId="14" applyBorder="1"/>
    <s:xf borderId="15" applyBorder="1"/>
    <s:xf borderId="6" applyBorder="1" applyAlignment="1">
      <s:alignment horizontal="center" mc:Ignorable="vyd"/>
    </s:xf>
    <s:xf borderId="6" applyBorder="1" applyAlignment="1">
      <s:alignment horizontal="center" vertical="center" mc:Ignorable="vyd"/>
    </s:xf>
    <s:xf fontId="1" borderId="6" applyFont="1" applyBorder="1" applyAlignment="1">
      <s:alignment horizontal="center" vertical="center" mc:Ignorable="vyd"/>
    </s:xf>
    <s:xf fontId="4" borderId="6" applyFont="1" applyBorder="1" applyAlignment="1">
      <s:alignment horizontal="center" vertical="center" mc:Ignorable="vyd"/>
    </s:xf>
    <s:xf fontId="5" borderId="6" applyFont="1" applyBorder="1" applyAlignment="1">
      <s:alignment horizontal="center" vertical="center" mc:Ignorable="vyd"/>
    </s:xf>
    <s:xf fontId="6" borderId="6" applyFont="1" applyBorder="1" applyAlignment="1">
      <s:alignment horizontal="center" vertical="center" mc:Ignorable="vyd"/>
    </s:xf>
    <s:xf fontId="7" borderId="6" applyFont="1" applyBorder="1" applyAlignment="1">
      <s:alignment horizontal="center" vertical="center" mc:Ignorable="vyd"/>
    </s:xf>
    <s:xf fontId="8" borderId="6" applyFont="1" applyBorder="1" applyAlignment="1">
      <s:alignment horizontal="center" vertical="center" mc:Ignorable="vyd"/>
    </s:xf>
    <s:xf numFmtId="165" fontId="8" borderId="6" applyNumberFormat="1" applyFont="1" applyBorder="1" applyAlignment="1">
      <s:alignment horizontal="center" vertical="center" mc:Ignorable="vyd"/>
    </s:xf>
    <s:xf numFmtId="0" fillId="5" borderId="6" applyNumberFormat="1" applyFill="1" applyBorder="1" applyAlignment="1">
      <s:alignment vertical="bottom" wrapText="1" vyd:clipText="0" mc:Ignorable="vyd"/>
    </s:xf>
    <s:xf fontId="1" fillId="2" borderId="7" applyFont="1" applyFill="1" applyBorder="1" applyAlignment="1">
      <s:alignment horizontal="center" vertical="center" wrapText="1" vyd:clipText="0" mc:Ignorable="vyd"/>
    </s:xf>
    <s:xf fillId="5" borderId="6" applyFill="1" applyBorder="1" applyAlignment="1">
      <s:alignment horizontal="left" vertical="bottom" wrapText="1" vyd:clipText="0" mc:Ignorable="vyd"/>
    </s:xf>
    <s:xf numFmtId="0" fillId="6" borderId="6" applyNumberFormat="1" applyFill="1" applyBorder="1" applyAlignment="1">
      <s:alignment vertical="bottom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metadata.xml" Type="http://schemas.openxmlformats.org/officeDocument/2006/relationships/sheetMetadata" Id="rId5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38.711" customWidth="1"/>
    <s:col min="2" max="2" width="15.641" customWidth="1"/>
    <s:col min="3" max="3" width="45.863" customWidth="1"/>
  </s:cols>
  <s:sheetData>
    <s:row r="1" ht="14.25">
      <s:c r="A1" s="46" t="s">
        <s:v>1</s:v>
      </s:c>
      <s:c r="B1" s="46" t="s">
        <s:v>2</s:v>
      </s:c>
      <s:c r="C1" s="46" t="s">
        <s:v>3</s:v>
      </s:c>
      <s:c r="D1" s="46" t="s">
        <s:v>4</s:v>
      </s:c>
      <s:c r="E1" s="46" t="s">
        <s:v>122</s:v>
      </s:c>
      <s:c r="F1" s="46" t="s">
        <s:v>6</s:v>
      </s:c>
      <s:c r="G1" s="0"/>
    </s:row>
    <s:row r="2" ht="50.25">
      <s:c r="A2" s="67" t="s">
        <s:v>120</s:v>
      </s:c>
      <s:c r="B2" s="58" t="s">
        <s:v>91</s:v>
      </s:c>
      <s:c r="C2" s="103" t="s">
        <s:v>100</s:v>
      </s:c>
      <s:c r="D2" s="64">
        <s:v>1200</s:v>
      </s:c>
      <s:c r="E2" s="77">
        <s:v>-7.83</s:v>
      </s:c>
      <s:c r="F2" s="77">
        <s:f validation_="true">E2*D2</s:f>
        <s:v>-9396</s:v>
      </s:c>
      <s:c r="G2" s="0"/>
    </s:row>
    <s:row r="3" ht="14.25">
      <s:c r="A3" s="67"/>
      <s:c r="B3" s="58" t="s">
        <s:v>44</s:v>
      </s:c>
      <s:c r="C3" s="103" t="s">
        <s:v>98</s:v>
      </s:c>
      <s:c r="D3" s="64">
        <s:v>3</s:v>
      </s:c>
      <s:c r="E3" s="77">
        <s:v>-2395</s:v>
      </s:c>
      <s:c r="F3" s="77">
        <s:f validation_="true">E3*D3</s:f>
        <s:v>-7185</s:v>
      </s:c>
      <s:c r="G3" s="0"/>
    </s:row>
    <s:row r="4" ht="14.25">
      <s:c r="A4" s="67"/>
      <s:c r="B4" s="58" t="s">
        <s:v>45</s:v>
      </s:c>
      <s:c r="C4" s="103" t="s">
        <s:v>118</s:v>
      </s:c>
      <s:c r="D4" s="64">
        <s:v>1</s:v>
      </s:c>
      <s:c r="E4" s="77">
        <s:v>-68880</s:v>
      </s:c>
      <s:c r="F4" s="77">
        <s:f validation_="true">E4*D4</s:f>
        <s:v>-68880</s:v>
      </s:c>
      <s:c r="G4" s="0"/>
    </s:row>
    <s:row r="5" ht="14.25">
      <s:c r="A5" s="67"/>
      <s:c r="B5" s="58" t="s">
        <s:v>81</s:v>
      </s:c>
      <s:c r="C5" s="103" t="s">
        <s:v>121</s:v>
      </s:c>
      <s:c r="D5" s="64">
        <s:v>1</s:v>
      </s:c>
      <s:c r="E5" s="77">
        <s:v>-18793</s:v>
      </s:c>
      <s:c r="F5" s="77">
        <s:f validation_="true">E5*D5</s:f>
        <s:v>-18793</s:v>
      </s:c>
      <s:c r="G5" s="0"/>
    </s:row>
    <s:row r="6" ht="62.25">
      <s:c r="A6" s="67"/>
      <s:c r="B6" s="58" t="s">
        <s:v>90</s:v>
      </s:c>
      <s:c r="C6" s="103"/>
      <s:c r="D6" s="64">
        <s:v>1</s:v>
      </s:c>
      <s:c r="E6" s="77">
        <s:v>-2628</s:v>
      </s:c>
      <s:c r="F6" s="77">
        <s:f validation_="true">E6*D6</s:f>
        <s:v>-2628</s:v>
      </s:c>
      <s:c r="G6" s="0"/>
    </s:row>
    <s:row r="7" ht="26.25">
      <s:c r="A7" s="67"/>
      <s:c r="B7" s="58" t="s">
        <s:v>95</s:v>
      </s:c>
      <s:c r="C7" s="103" t="s">
        <s:v>22</s:v>
      </s:c>
      <s:c r="D7" s="64">
        <s:v>1</s:v>
      </s:c>
      <s:c r="E7" s="77">
        <s:v>-221310</s:v>
      </s:c>
      <s:c r="F7" s="77">
        <s:f validation_="true">E7*D7</s:f>
        <s:v>-221310</s:v>
      </s:c>
      <s:c r="G7" s="0"/>
    </s:row>
    <s:row r="8" ht="74.25">
      <s:c r="A8" s="68"/>
      <s:c r="B8" s="58" t="s">
        <s:v>97</s:v>
      </s:c>
      <s:c r="C8" s="103" t="s">
        <s:v>115</s:v>
      </s:c>
      <s:c r="D8" s="64">
        <s:v>1</s:v>
      </s:c>
      <s:c r="E8" s="77">
        <s:v>-52450</s:v>
      </s:c>
      <s:c r="F8" s="77">
        <s:f validation_="true">E8*D8</s:f>
        <s:v>-52450</s:v>
      </s:c>
      <s:c r="G8" s="0"/>
    </s:row>
    <s:row r="9" ht="26.25">
      <s:c r="A9" s="60" t="s">
        <s:v>17</s:v>
      </s:c>
      <s:c r="B9" s="61">
        <s:v/>
      </s:c>
      <s:c r="C9" s="61">
        <s:v/>
      </s:c>
      <s:c r="D9" s="61">
        <s:v/>
      </s:c>
      <s:c r="E9" s="78">
        <s:f validation_="true">SUM(E2:E8)</s:f>
        <s:v>-366463.83</s:v>
      </s:c>
      <s:c r="F9" s="78">
        <s:f validation_="true">SUM(F2:F8)</s:f>
        <s:v>-380642</s:v>
      </s:c>
      <s:c r="G9" s="0"/>
    </s:row>
    <s:row r="10">
      <s:c r="F10">
        <s:v/>
      </s:c>
    </s:row>
    <s:row r="11">
      <s:c r="F11">
        <s:v/>
      </s:c>
    </s:row>
    <s:row r="12" ht="14.25">
      <s:c r="A12" s="102" t="s">
        <s:v>1</s:v>
      </s:c>
      <s:c r="B12" s="46" t="s">
        <s:v>45</s:v>
      </s:c>
      <s:c r="C12" s="46" t="s">
        <s:v>102</s:v>
      </s:c>
      <s:c r="D12" s="46" t="s">
        <s:v>4</s:v>
      </s:c>
      <s:c r="E12" s="46" t="s">
        <s:v>6</s:v>
      </s:c>
      <s:c r="F12" s="0"/>
    </s:row>
    <s:row r="13">
      <s:c r="A13" s="67" t="s">
        <s:v>120</s:v>
      </s:c>
      <s:c r="B13" s="58" t="s">
        <s:v>69</s:v>
      </s:c>
      <s:c r="C13" s="58"/>
      <s:c r="D13" s="64">
        <s:v>0</s:v>
      </s:c>
      <s:c r="E13" s="72"/>
      <s:c r="F13" s="0"/>
      <s:c r="I13" s="81">
        <s:v>100</s:v>
      </s:c>
    </s:row>
    <s:row r="14" ht="38.25">
      <s:c r="A14" s="67"/>
      <s:c r="B14" s="58" t="s">
        <s:v>70</s:v>
      </s:c>
      <s:c r="C14" s="58" t="s">
        <s:v>104</s:v>
      </s:c>
      <s:c r="D14" s="64">
        <s:v>5</s:v>
      </s:c>
      <s:c r="E14" s="72">
        <s:v>21500</s:v>
      </s:c>
      <s:c r="F14" s="0"/>
      <s:c r="I14" s="82">
        <s:v>100</s:v>
      </s:c>
    </s:row>
    <s:row r="15" ht="50.25">
      <s:c r="A15" s="67"/>
      <s:c r="B15" s="58" t="s">
        <s:v>71</s:v>
      </s:c>
      <s:c r="C15" s="58" t="s">
        <s:v>123</s:v>
      </s:c>
      <s:c r="D15" s="64">
        <s:v>5</s:v>
      </s:c>
      <s:c r="E15" s="72">
        <s:v>20900</s:v>
      </s:c>
      <s:c r="F15" s="0"/>
      <s:c r="I15" s="82">
        <s:v>100</s:v>
      </s:c>
    </s:row>
    <s:row r="16" ht="74.25">
      <s:c r="A16" s="67"/>
      <s:c r="B16" s="58" t="s">
        <s:v>93</s:v>
      </s:c>
      <s:c r="C16" s="58" t="s">
        <s:v>108</s:v>
      </s:c>
      <s:c r="D16" s="64">
        <s:v>7</s:v>
      </s:c>
      <s:c r="E16" s="72">
        <s:v>28800</s:v>
      </s:c>
      <s:c r="F16" s="0"/>
      <s:c r="I16" s="82">
        <s:v>100</s:v>
      </s:c>
    </s:row>
    <s:row r="17" ht="62.25">
      <s:c r="A17" s="68"/>
      <s:c r="B17" s="58" t="s">
        <s:v>94</s:v>
      </s:c>
      <s:c r="C17" s="101" t="s">
        <s:v>113</s:v>
      </s:c>
      <s:c r="D17" s="64">
        <s:v>5</s:v>
      </s:c>
      <s:c r="E17" s="72">
        <s:v>18200</s:v>
      </s:c>
      <s:c r="F17" s="0"/>
      <s:c r="I17" s="82">
        <s:v>100</s:v>
      </s:c>
    </s:row>
    <s:row r="18" ht="26.25">
      <s:c r="A18" s="60" t="s">
        <s:v>17</s:v>
      </s:c>
      <s:c r="B18" s="61">
        <s:v/>
      </s:c>
      <s:c r="C18" s="61">
        <s:v/>
      </s:c>
      <s:c r="D18" s="104">
        <s:f validation_="true">SUM(D13:D17)</s:f>
        <s:v>22</s:v>
      </s:c>
      <s:c r="E18" s="73">
        <s:f validation_="true">SUM(E13:E17)</s:f>
        <s:v>89400</s:v>
      </s:c>
      <s:c r="F18" s="0"/>
      <s:c r="I18" s="82">
        <s:v>100</s:v>
      </s:c>
    </s:row>
    <s:row r="20">
      <s:c r="A20" s="99" t="s">
        <s:v>66</s:v>
      </s:c>
      <s:c r="B20" s="100">
        <s:f validation_="true">F9+E18+F18</s:f>
        <s:v>-291242</s:v>
      </s:c>
      <s:c r="C20" s="99"/>
      <s:c r="D20" s="99"/>
      <s:c r="E20" s="99"/>
      <s:c r="F20" s="99"/>
      <s:c r="G20" s="99"/>
      <s:c r="H20" s="99"/>
    </s:row>
    <s:row r="21">
      <s:c r="A21" s="99"/>
      <s:c r="B21" s="99"/>
      <s:c r="C21" s="99"/>
      <s:c r="D21" s="99"/>
      <s:c r="E21" s="99"/>
      <s:c r="F21" s="99"/>
      <s:c r="G21" s="99"/>
      <s:c r="H21" s="99"/>
    </s:row>
  </s:sheetData>
  <s:mergeCells count="4">
    <s:mergeCell ref="A2:A8"/>
    <s:mergeCell ref="A13:A17"/>
    <s:mergeCell ref="A20:A21"/>
    <s:mergeCell ref="B20:H21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