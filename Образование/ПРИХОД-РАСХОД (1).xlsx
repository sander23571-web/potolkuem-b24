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metadata.xml><?xml version="1.0" encoding="utf-8"?>
<s:metadata xmlns:xda="http://schemas.microsoft.com/office/spreadsheetml/2017/dynamicarray" xmlns:s="http://schemas.openxmlformats.org/spreadsheetml/2006/main">
  <s:metadataTypes count="1">
    <s:metadataType name="XLDAPR" minSupportedVersion="120000" copy="1" pasteAll="1" pasteValues="1" merge="1" splitFirst="1" rowColShift="1" clearFormats="1" clearComments="1" assign="1" coerce="1" cellMeta="1"/>
  </s:metadataTypes>
  <s:futureMetadata name="XLDAPR" count="1">
    <s:bk>
      <s:extLst>
        <s:ext uri="{bdbb8cdc-fa1e-496e-a857-3c3f30c029c3}">
          <xda:dynamicArrayProperties fDynamic="1" fCollapsed="0"/>
        </s:ext>
      </s:extLst>
    </s:bk>
  </s:futureMetadata>
  <s:cellMetadata count="1">
    <s:bk>
      <s:rc t="1" v="0"/>
    </s:bk>
  </s:cellMetadata>
</s:metadata>
</file>

<file path=xl/sharedStrings.xml><?xml version="1.0" encoding="utf-8"?>
<s:sst xmlns:s="http://schemas.openxmlformats.org/spreadsheetml/2006/main">
  <s:si>
    <s:t>Месяц</s:t>
  </s:si>
  <s:si>
    <s:t>Активность</s:t>
  </s:si>
  <s:si>
    <s:t>Статья расхода</s:t>
  </s:si>
  <s:si>
    <s:t>Описание</s:t>
  </s:si>
  <s:si>
    <s:t>Кол-во</s:t>
  </s:si>
  <s:si>
    <s:t>Цена за ед.</s:t>
  </s:si>
  <s:si>
    <s:t>Сумма</s:t>
  </s:si>
  <s:si>
    <s:t>Примечание</s:t>
  </s:si>
  <s:si>
    <s:t>Январь</s:t>
  </s:si>
  <s:si>
    <s:t>Программы</s:t>
  </s:si>
  <s:si>
    <s:t>PressFeed</s:t>
  </s:si>
  <s:si>
    <s:t>онлайн-сервис в сфере медиа и PR, который упрощает взаимодействие между журналистами и экспертами.</s:t>
  </s:si>
  <s:si>
    <s:t>р.25 000</s:t>
  </s:si>
  <s:si>
    <s:t>Блогеры</s:t>
  </s:si>
  <s:si>
    <s:t>Даша Пешкова</s:t>
  </s:si>
  <s:si>
    <s:t>Реклама в блоге Youtube</s:t>
  </s:si>
  <s:si>
    <s:t>р.60 000</s:t>
  </s:si>
  <s:si>
    <s:t>Итого:</s:t>
  </s:si>
  <s:si>
    <s:t>р.85 000</s:t>
  </s:si>
  <s:si>
    <s:t>Февраль</s:t>
  </s:si>
  <s:si>
    <s:t>Выставка "Образование и карьера"</s:t>
  </s:si>
  <s:si>
    <s:t>Аренда</s:t>
  </s:si>
  <s:si>
    <s:t>Место на выставке</s:t>
  </s:si>
  <s:si>
    <s:t>р.177 030</s:t>
  </s:si>
  <s:si>
    <s:t>Публикация в каталоге</s:t>
  </s:si>
  <s:si>
    <s:t>А5, цвет, приоритет</s:t>
  </s:si>
  <s:si>
    <s:t>р.7 560</s:t>
  </s:si>
  <s:si>
    <s:t>Стенд</s:t>
  </s:si>
  <s:si>
    <s:t>Изготовление двустороннего стенда</s:t>
  </s:si>
  <s:si>
    <s:t>р.245 900</s:t>
  </s:si>
  <s:si>
    <s:t>Юридические услуги</s:t>
  </s:si>
  <s:si>
    <s:t>Валерия Рытвина</s:t>
  </s:si>
  <s:si>
    <s:t>Консультация</s:t>
  </s:si>
  <s:si>
    <s:t>р.15 000</s:t>
  </s:si>
  <s:si>
    <s:t>Дисклеймер</s:t>
  </s:si>
  <s:si>
    <s:t>р.12 000</s:t>
  </s:si>
  <s:si>
    <s:t>Николай Жаринов</s:t>
  </s:si>
  <s:si>
    <s:t>Реклама в блоге Rutube</s:t>
  </s:si>
  <s:si>
    <s:t>р.130 000</s:t>
  </s:si>
  <s:si>
    <s:t>Хидэ Масуи</s:t>
  </s:si>
  <s:si>
    <s:t>Консультант по Японии. Блогер</s:t>
  </s:si>
  <s:si>
    <s:t>р.10 000</s:t>
  </s:si>
  <s:si>
    <s:t>р.587 490</s:t>
  </s:si>
  <s:si>
    <s:t>Лефлеты</s:t>
  </s:si>
  <s:si>
    <s:t>Костюмы</s:t>
  </s:si>
  <s:si>
    <s:t>Ведущие</s:t>
  </s:si>
  <s:si>
    <s:t>Выступление на выставке</s:t>
  </s:si>
  <s:si>
    <s:t>Конфеты</s:t>
  </s:si>
  <s:si>
    <s:t>Стол</s:t>
  </s:si>
  <s:si>
    <s:t>Стол и стулья</s:t>
  </s:si>
  <s:si>
    <s:t>Лефлеты и доставка</s:t>
  </s:si>
  <s:si>
    <s:t>Доставка</s:t>
  </s:si>
  <s:si>
    <s:t>Туда</s:t>
  </s:si>
  <s:si>
    <s:t>Обратно</s:t>
  </s:si>
  <s:si>
    <s:t>Статья дохода</s:t>
  </s:si>
  <s:si>
    <s:t>Продажа</s:t>
  </s:si>
  <s:si>
    <s:t>Игра</s:t>
  </s:si>
  <s:si>
    <s:t>Менеджер</s:t>
  </s:si>
  <s:si>
    <s:t>Где купили</s:t>
  </s:si>
  <s:si>
    <s:t>Процент</s:t>
  </s:si>
  <s:si>
    <s:t>Яндекс.Маркет</s:t>
  </s:si>
  <s:si>
    <s:t>Дипломатия</s:t>
  </s:si>
  <s:si>
    <s:t>WB</s:t>
  </s:si>
  <s:si>
    <s:t>Классика</s:t>
  </s:si>
  <s:si>
    <s:t>Стенд терминал</s:t>
  </s:si>
  <s:si>
    <s:t>Стенд наличные</s:t>
  </s:si>
  <s:si>
    <s:t>ИТОГО:</s:t>
  </s:si>
  <s:si>
    <s:t>(1 стол+4 стула)</s:t>
  </s:si>
  <s:si>
    <s:t>(1 стол +4 стула)</s:t>
  </s:si>
  <s:si>
    <s:t>(Леденцы "Потолкуем?")</s:t>
  </s:si>
  <s:si>
    <s:t>Лифлеты и доставка</s:t>
  </s:si>
  <s:si>
    <s:t>Скафандры</s:t>
  </s:si>
  <s:si>
    <s:t>Выступление (Антон)</s:t>
  </s:si>
  <s:si>
    <s:t>(выход)</s:t>
  </s:si>
  <s:si>
    <s:t>(фикс.выход)</s:t>
  </s:si>
  <s:si>
    <s:t>Аренда площадки</s:t>
  </s:si>
  <s:si>
    <s:t>Публикация в каталоге выставки</s:t>
  </s:si>
  <s:si>
    <s:t xml:space="preserve">Стенд </s:t>
  </s:si>
  <s:si>
    <s:t>Производство стенда</s:t>
  </s:si>
  <s:si>
    <s:t>Стенд SEGframe 300х250см (комплект в сумках) SF30250
Стенд SEGframe 150х250см (комплект в сумках) SF15250
Буклетница А5 3 кармана
Светильник LED Crystal Light с переходником
Ткань с сублимационной печатью и подшивкой силиконового шнура 300х250 см
Ткань с сублимационной печатью и подшивкой силиконового шнура 150х250 см
Комплект SEGwall_NV Counter
Ткань с сублимационной печатью и подшивкой силиконового шнура 166х100 см
Витрина Pirouet с подсветкой, в сумке</s:t>
  </s:si>
  <s:si>
    <s:t>(фикс.выход + 20% с продаж)</s:t>
  </s:si>
  <s:si>
    <s:t xml:space="preserve">(фикс.выход + </s:t>
  </s:si>
  <s:si>
    <s:t>20% с продаж)</s:t>
  </s:si>
  <s:si>
    <s:t>20% с продаж</s:t>
  </s:si>
  <s:si>
    <s:t>Стенд
 (продажи нал.)</s:t>
  </s:si>
  <s:si>
    <s:t>Стенд 
(продажи через банковский терминал)</s:t>
  </s:si>
  <s:si>
    <s:t>Каталог игр "Потолкуем?"</s:t>
  </s:si>
  <s:si>
    <s:t>Стенд (продажи нал.)</s:t>
  </s:si>
  <s:si>
    <s:t>Стенд 
(продажи нал.)</s:t>
  </s:si>
  <s:si>
    <s:t>25 000 руб - изготовление + 2 500 руб. - доставка.</s:t>
  </s:si>
  <s:si>
    <s:t>(фикс.выход 5 ведущих в 2 дня выставки)</s:t>
  </s:si>
  <s:si>
    <s:t>(фикс.выход 5 ведущих за 2 дня выставки)</s:t>
  </s:si>
  <s:si>
    <s:t>Выставка "Образование и карьера" с 28.02 по 01.03</s:t>
  </s:si>
  <s:si>
    <s:t>Выставка "Образование и карьера" 
с 28.02 по 01.03</s:t>
  </s:si>
  <s:si>
    <s:t>Рх,a ₽</s:t>
  </s:si>
  <s:si>
    <s:t>Дх,a ₽</s:t>
  </s:si>
  <s:si>
    <s:t>=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</s:si>
</s:sst>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2">
    <s:numFmt numFmtId="164" formatCode="#,##0.00 [$₽-419]"/>
    <s:numFmt numFmtId="165" formatCode="#,##0.00 [$₽-419];[Red]-#,##0.00 [$₽-419]"/>
  </s:numFmts>
  <s:fonts count="9">
    <s:font>
      <s:name val="Arial"/>
      <s:family val="2"/>
      <s:color theme="1"/>
      <s:sz val="10"/>
    </s:font>
    <s:font>
      <s:b val="1"/>
    </s:font>
    <s:font>
      <s:color rgb="FFFFFFFF"/>
    </s:font>
    <s:font>
      <s:name val="Arial"/>
      <s:family val="2"/>
      <s:color rgb="FFFFFFFF"/>
      <s:sz val="10"/>
    </s:font>
    <s:font>
      <s:b val="1"/>
      <s:sz val="11"/>
    </s:font>
    <s:font>
      <s:b val="1"/>
      <s:sz val="12"/>
    </s:font>
    <s:font>
      <s:b val="1"/>
      <s:sz val="14"/>
    </s:font>
    <s:font>
      <s:b val="1"/>
      <s:sz val="16"/>
    </s:font>
    <s:font>
      <s:b val="1"/>
      <s:sz val="18"/>
    </s:font>
  </s:fonts>
  <s:fills count="7">
    <s:fill>
      <s:patternFill patternType="none"/>
    </s:fill>
    <s:fill>
      <s:patternFill patternType="gray125"/>
    </s:fill>
    <s:fill>
      <s:patternFill patternType="solid">
        <s:fgColor rgb="FFC9DAF8"/>
      </s:patternFill>
    </s:fill>
    <s:fill>
      <s:patternFill patternType="solid">
        <s:fgColor rgb="FFEAD1DC"/>
      </s:patternFill>
    </s:fill>
    <s:fill>
      <s:patternFill patternType="solid">
        <s:fgColor rgb="FFFFF2CC"/>
      </s:patternFill>
    </s:fill>
    <s:fill>
      <s:patternFill patternType="solid">
        <s:fgColor rgb="FFCFE2F3"/>
      </s:patternFill>
    </s:fill>
    <s:fill>
      <s:patternFill patternType="solid">
        <s:fgColor rgb="FFF3F3F3"/>
      </s:patternFill>
    </s:fill>
  </s:fills>
  <s:borders count="23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/>
      <s:top style="thin"/>
      <s:bottom/>
    </s:border>
    <s:border>
      <s:left/>
      <s:right/>
      <s:top style="thin"/>
      <s:bottom/>
    </s:border>
    <s:border>
      <s:left/>
      <s:right style="thin"/>
      <s:top style="thin"/>
      <s:bottom/>
    </s:border>
    <s:border>
      <s:left style="thin"/>
      <s:right/>
      <s:top/>
      <s:bottom style="thin"/>
    </s:border>
    <s:border>
      <s:left/>
      <s:right/>
      <s:top/>
      <s:bottom style="thin"/>
    </s:border>
    <s:border>
      <s:left/>
      <s:right style="thin"/>
      <s:top/>
      <s:bottom style="thin"/>
    </s:border>
  </s:borders>
  <s:cellStyleXfs count="1">
    <s:xf numFmtId="0" fontId="0" fillId="0" borderId="0"/>
  </s:cellStyleXfs>
  <s:cellXfs count="128">
    <s:xf numFmtId="0" fontId="0" fillId="0" borderId="0" xfId="0"/>
    <s:xf fontId="1" fillId="2" borderId="1" applyFont="1" applyFill="1" applyBorder="1" applyAlignment="1">
      <s:alignment horizontal="center" vertical="center" wrapText="0" vyd:clipText="0" mc:Ignorable="vyd"/>
    </s:xf>
    <s:xf fontId="1" fillId="2" borderId="2" applyFont="1" applyFill="1" applyBorder="1" applyAlignment="1">
      <s:alignment horizontal="center" vertical="center" wrapText="0" vyd:clipText="0" mc:Ignorable="vyd"/>
    </s:xf>
    <s:xf fontId="1" borderId="3" applyFont="1" applyBorder="1" applyAlignment="1">
      <s:alignment horizontal="center" vertical="center" wrapText="0" vyd:clipText="1" mc:Ignorable="vyd"/>
    </s:xf>
    <s:xf fontId="1" fillId="3" borderId="4" applyFont="1" applyFill="1" applyBorder="1" applyAlignment="1">
      <s:alignment horizontal="center" vertical="center" wrapText="0" vyd:clipText="0" mc:Ignorable="vyd"/>
    </s:xf>
    <s:xf fillId="3" borderId="4" applyFill="1" applyBorder="1" applyAlignment="1">
      <s:alignment vertical="bottom" wrapText="0" vyd:clipText="1" mc:Ignorable="vyd"/>
    </s:xf>
    <s:xf fillId="3" borderId="4" applyFill="1" applyBorder="1" applyAlignment="1">
      <s:alignment vertical="bottom" wrapText="0" vyd:clipText="0" mc:Ignorable="vyd"/>
    </s:xf>
    <s:xf fillId="3" borderId="4" applyFill="1" applyBorder="1" applyAlignment="1">
      <s:alignment horizontal="center" vertical="bottom" wrapText="0" vyd:clipText="1" mc:Ignorable="vyd"/>
    </s:xf>
    <s:xf fillId="3" borderId="4" applyFill="1" applyBorder="1" applyAlignment="1">
      <s:alignment horizontal="right" vertical="bottom" wrapText="0" vyd:clipText="1" mc:Ignorable="vyd"/>
    </s:xf>
    <s:xf fontId="1" fillId="4" borderId="4" applyFont="1" applyFill="1" applyBorder="1" applyAlignment="1">
      <s:alignment horizontal="center" vertical="center" wrapText="0" vyd:clipText="1" mc:Ignorable="vyd"/>
    </s:xf>
    <s:xf fillId="4" borderId="4" applyFill="1" applyBorder="1" applyAlignment="1">
      <s:alignment vertical="bottom" wrapText="0" vyd:clipText="1" mc:Ignorable="vyd"/>
    </s:xf>
    <s:xf fillId="4" borderId="4" applyFill="1" applyBorder="1" applyAlignment="1">
      <s:alignment horizontal="center" vertical="bottom" wrapText="0" vyd:clipText="1" mc:Ignorable="vyd"/>
    </s:xf>
    <s:xf fillId="4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vertical="bottom" wrapText="0" vyd:clipText="1" mc:Ignorable="vyd"/>
    </s:xf>
    <s:xf borderId="3" applyBorder="1" applyAlignment="1">
      <s:alignment vertical="center" wrapText="0" vyd:clipText="1" mc:Ignorable="vyd"/>
    </s:xf>
    <s:xf fontId="1" fillId="6" borderId="4" applyFont="1" applyFill="1" applyBorder="1" applyAlignment="1">
      <s:alignment horizontal="center" vertical="center" wrapText="0" vyd:clipText="1" mc:Ignorable="vyd"/>
    </s:xf>
    <s:xf fillId="6" borderId="4" applyFill="1" applyBorder="1" applyAlignment="1">
      <s:alignment vertical="bottom" wrapText="0" vyd:clipText="1" mc:Ignorable="vyd"/>
    </s:xf>
    <s:xf fillId="6" borderId="4" applyFill="1" applyBorder="1" applyAlignment="1">
      <s:alignment horizontal="right" vertical="bottom" wrapText="0" vyd:clipText="1" mc:Ignorable="vyd"/>
    </s:xf>
    <s:xf fontId="1" fillId="5" borderId="4" applyFont="1" applyFill="1" applyBorder="1" applyAlignment="1">
      <s:alignment horizontal="center" vertical="center" wrapText="0" vyd:clipText="0" mc:Ignorable="vyd"/>
    </s:xf>
    <s:xf fillId="5" borderId="4" applyFill="1" applyBorder="1" applyAlignment="1">
      <s:alignment horizontal="center" vertical="bottom" wrapText="0" vyd:clipText="1" mc:Ignorable="vyd"/>
    </s:xf>
    <s:xf borderId="4" applyBorder="1" applyAlignment="1">
      <s:alignment vertical="bottom" wrapText="0" vyd:clipText="1" mc:Ignorable="vyd"/>
    </s:xf>
    <s:xf fontId="1" fillId="4" borderId="4" applyFont="1" applyFill="1" applyBorder="1" applyAlignment="1">
      <s:alignment horizontal="center" vertical="center" wrapText="0" vyd:clipText="0" mc:Ignorable="vyd"/>
    </s:xf>
    <s:xf borderId="5" applyBorder="1" applyAlignment="1">
      <s:alignment vertical="center" wrapText="0" vyd:clipText="1" mc:Ignorable="vyd"/>
    </s:xf>
    <s:xf fontId="1" fillId="2" borderId="6" applyFont="1" applyFill="1" applyBorder="1" applyAlignment="1">
      <s:alignment horizontal="center" vertical="center" wrapText="0" vyd:clipText="0" mc:Ignorable="vyd"/>
    </s:xf>
    <s:xf fontId="1" borderId="6" applyFont="1" applyBorder="1" applyAlignment="1">
      <s:alignment horizontal="center" vertical="center" wrapText="0" vyd:clipText="1" mc:Ignorable="vyd"/>
    </s:xf>
    <s:xf fontId="1" fillId="3" borderId="6" applyFont="1" applyFill="1" applyBorder="1" applyAlignment="1">
      <s:alignment horizontal="center" vertical="center" wrapText="0" vyd:clipText="0" mc:Ignorable="vyd"/>
    </s:xf>
    <s:xf fillId="3" borderId="6" applyFill="1" applyBorder="1" applyAlignment="1">
      <s:alignment vertical="bottom" wrapText="0" vyd:clipText="1" mc:Ignorable="vyd"/>
    </s:xf>
    <s:xf fillId="3" borderId="6" applyFill="1" applyBorder="1" applyAlignment="1">
      <s:alignment vertical="bottom" wrapText="0" vyd:clipText="0" mc:Ignorable="vyd"/>
    </s:xf>
    <s:xf fillId="3" borderId="6" applyFill="1" applyBorder="1" applyAlignment="1">
      <s:alignment horizontal="center" vertical="bottom" wrapText="0" vyd:clipText="1" mc:Ignorable="vyd"/>
    </s:xf>
    <s:xf fillId="3" borderId="6" applyFill="1" applyBorder="1" applyAlignment="1">
      <s:alignment horizontal="right" vertical="bottom" wrapText="0" vyd:clipText="1" mc:Ignorable="vyd"/>
    </s:xf>
    <s:xf borderId="6" applyBorder="1"/>
    <s:xf fontId="1" fillId="4" borderId="6" applyFont="1" applyFill="1" applyBorder="1" applyAlignment="1">
      <s:alignment horizontal="center" vertical="center" wrapText="0" vyd:clipText="1" mc:Ignorable="vyd"/>
    </s:xf>
    <s:xf fillId="4" borderId="6" applyFill="1" applyBorder="1" applyAlignment="1">
      <s:alignment vertical="bottom" wrapText="0" vyd:clipText="1" mc:Ignorable="vyd"/>
    </s:xf>
    <s:xf fillId="4" borderId="6" applyFill="1" applyBorder="1" applyAlignment="1">
      <s:alignment horizontal="center" vertical="bottom" wrapText="0" vyd:clipText="1" mc:Ignorable="vyd"/>
    </s:xf>
    <s:xf fillId="4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vertical="bottom" wrapText="0" vyd:clipText="1" mc:Ignorable="vyd"/>
    </s:xf>
    <s:xf borderId="6" applyBorder="1" applyAlignment="1">
      <s:alignment vertical="center" wrapText="0" vyd:clipText="1" mc:Ignorable="vyd"/>
    </s:xf>
    <s:xf fontId="1" fillId="6" borderId="6" applyFont="1" applyFill="1" applyBorder="1" applyAlignment="1">
      <s:alignment horizontal="center" vertical="center" wrapText="0" vyd:clipText="1" mc:Ignorable="vyd"/>
    </s:xf>
    <s:xf fillId="6" borderId="6" applyFill="1" applyBorder="1" applyAlignment="1">
      <s:alignment vertical="bottom" wrapText="0" vyd:clipText="1" mc:Ignorable="vyd"/>
    </s:xf>
    <s:xf fillId="6" borderId="6" applyFill="1" applyBorder="1" applyAlignment="1">
      <s:alignment horizontal="right" vertical="bottom" wrapText="0" vyd:clipText="1" mc:Ignorable="vyd"/>
    </s:xf>
    <s:xf fontId="1" fillId="5" borderId="6" applyFont="1" applyFill="1" applyBorder="1" applyAlignment="1">
      <s:alignment horizontal="center" vertical="center" wrapText="0" vyd:clipText="0" mc:Ignorable="vyd"/>
    </s:xf>
    <s:xf fillId="5" borderId="6" applyFill="1" applyBorder="1" applyAlignment="1">
      <s:alignment horizontal="center" vertical="bottom" wrapText="0" vyd:clipText="1" mc:Ignorable="vyd"/>
    </s:xf>
    <s:xf borderId="6" applyBorder="1" applyAlignment="1">
      <s:alignment vertical="bottom" wrapText="0" vyd:clipText="1" mc:Ignorable="vyd"/>
    </s:xf>
    <s:xf fontId="1" fillId="4" borderId="6" applyFont="1" applyFill="1" applyBorder="1" applyAlignment="1">
      <s:alignment horizontal="center" vertical="center" wrapText="0" vyd:clipText="0" mc:Ignorable="vyd"/>
    </s:xf>
    <s:xf fontId="1" fillId="2" borderId="6" applyFont="1" applyFill="1" applyBorder="1" applyAlignment="1">
      <s:alignment horizontal="center" vertical="center" wrapText="1" vyd:clipText="0" mc:Ignorable="vyd"/>
    </s:xf>
    <s:xf fontId="1" borderId="6" applyFont="1" applyBorder="1" applyAlignment="1">
      <s:alignment horizontal="center" vertical="center" wrapText="1" vyd:clipText="0" mc:Ignorable="vyd"/>
    </s:xf>
    <s:xf fontId="1" fillId="3" borderId="6" applyFont="1" applyFill="1" applyBorder="1" applyAlignment="1">
      <s:alignment horizontal="center" vertical="center" wrapText="1" vyd:clipText="0" mc:Ignorable="vyd"/>
    </s:xf>
    <s:xf fillId="3" borderId="6" applyFill="1" applyBorder="1" applyAlignment="1">
      <s:alignment vertical="bottom" wrapText="1" vyd:clipText="0" mc:Ignorable="vyd"/>
    </s:xf>
    <s:xf fillId="3" borderId="6" applyFill="1" applyBorder="1" applyAlignment="1">
      <s:alignment horizontal="center" vertical="bottom" wrapText="1" vyd:clipText="0" mc:Ignorable="vyd"/>
    </s:xf>
    <s:xf fillId="3" borderId="6" applyFill="1" applyBorder="1" applyAlignment="1">
      <s:alignment horizontal="right" vertical="bottom" wrapText="1" vyd:clipText="0" mc:Ignorable="vyd"/>
    </s:xf>
    <s:xf borderId="6" applyBorder="1" applyAlignment="1">
      <s:alignment wrapText="1" vyd:clipText="0" mc:Ignorable="vyd"/>
    </s:xf>
    <s:xf fontId="1" fillId="4" borderId="6" applyFont="1" applyFill="1" applyBorder="1" applyAlignment="1">
      <s:alignment horizontal="center" vertical="center" wrapText="1" vyd:clipText="0" mc:Ignorable="vyd"/>
    </s:xf>
    <s:xf fillId="4" borderId="6" applyFill="1" applyBorder="1" applyAlignment="1">
      <s:alignment vertical="bottom" wrapText="1" vyd:clipText="0" mc:Ignorable="vyd"/>
    </s:xf>
    <s:xf fillId="4" borderId="6" applyFill="1" applyBorder="1" applyAlignment="1">
      <s:alignment horizontal="center" vertical="bottom" wrapText="1" vyd:clipText="0" mc:Ignorable="vyd"/>
    </s:xf>
    <s:xf fillId="4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vertical="bottom" wrapText="1" vyd:clipText="0" mc:Ignorable="vyd"/>
    </s:xf>
    <s:xf borderId="6" applyBorder="1" applyAlignment="1">
      <s:alignment vertical="center" wrapText="1" vyd:clipText="0" mc:Ignorable="vyd"/>
    </s:xf>
    <s:xf fontId="1" fillId="6" borderId="6" applyFont="1" applyFill="1" applyBorder="1" applyAlignment="1">
      <s:alignment horizontal="center" vertical="center" wrapText="1" vyd:clipText="0" mc:Ignorable="vyd"/>
    </s:xf>
    <s:xf fillId="6" borderId="6" applyFill="1" applyBorder="1" applyAlignment="1">
      <s:alignment vertical="bottom" wrapText="1" vyd:clipText="0" mc:Ignorable="vyd"/>
    </s:xf>
    <s:xf fillId="6" borderId="6" applyFill="1" applyBorder="1" applyAlignment="1">
      <s:alignment horizontal="right" vertical="bottom" wrapText="1" vyd:clipText="0" mc:Ignorable="vyd"/>
    </s:xf>
    <s:xf fontId="1" fillId="5" borderId="6" applyFont="1" applyFill="1" applyBorder="1" applyAlignment="1">
      <s:alignment horizontal="center" vertical="center" wrapText="1" vyd:clipText="0" mc:Ignorable="vyd"/>
    </s:xf>
    <s:xf fillId="5" borderId="6" applyFill="1" applyBorder="1" applyAlignment="1">
      <s:alignment horizontal="center" vertical="bottom" wrapText="1" vyd:clipText="0" mc:Ignorable="vyd"/>
    </s:xf>
    <s:xf borderId="6" applyBorder="1" applyAlignment="1">
      <s:alignment vertical="bottom" wrapText="1" vyd:clipText="0" mc:Ignorable="vyd"/>
    </s:xf>
    <s:xf fontId="1" fillId="5" borderId="7" applyFont="1" applyFill="1" applyBorder="1" applyAlignment="1">
      <s:alignment horizontal="center" vertical="center" wrapText="1" vyd:clipText="0" mc:Ignorable="vyd"/>
    </s:xf>
    <s:xf fontId="1" fillId="5" borderId="8" applyFont="1" applyFill="1" applyBorder="1" applyAlignment="1">
      <s:alignment horizontal="center" vertical="center" wrapText="1" vyd:clipText="0" mc:Ignorable="vyd"/>
    </s:xf>
    <s:xf fontId="1" fillId="5" borderId="9" applyFont="1" applyFill="1" applyBorder="1" applyAlignment="1">
      <s:alignment horizontal="center" vertical="center" wrapText="1" vyd:clipText="0" mc:Ignorable="vyd"/>
    </s:xf>
    <s:xf fontId="1" fillId="5" borderId="6" applyFont="1" applyFill="1" applyBorder="1" applyAlignment="1">
      <s:alignment vertical="center" wrapText="1" vyd:clipText="0" mc:Ignorable="vyd"/>
    </s:xf>
    <s:xf numFmtId="0" fillId="5" borderId="6" applyNumberFormat="1" applyFill="1" applyBorder="1" applyAlignment="1">
      <s:alignment horizontal="right" vertical="bottom" wrapText="1" vyd:clipText="0" mc:Ignorable="vyd"/>
    </s:xf>
    <s:xf numFmtId="0" fillId="6" borderId="6" applyNumberFormat="1" applyFill="1" applyBorder="1" applyAlignment="1">
      <s:alignment horizontal="right" vertical="bottom" wrapText="1" vyd:clipText="0" mc:Ignorable="vyd"/>
    </s:xf>
    <s:xf numFmtId="164" fillId="5" borderId="6" applyNumberFormat="1" applyFill="1" applyBorder="1" applyAlignment="1">
      <s:alignment horizontal="right" vertical="bottom" wrapText="1" vyd:clipText="0" mc:Ignorable="vyd"/>
    </s:xf>
    <s:xf numFmtId="164" fillId="6" borderId="6" applyNumberFormat="1" applyFill="1" applyBorder="1" applyAlignment="1">
      <s:alignment horizontal="right" vertical="bottom" wrapText="1" vyd:clipText="0" mc:Ignorable="vyd"/>
    </s:xf>
    <s:xf fontId="1" fillId="5" borderId="7" applyFont="1" applyFill="1" applyBorder="1" applyAlignment="1">
      <s:alignment vertical="center" wrapText="1" vyd:clipText="0" mc:Ignorable="vyd"/>
    </s:xf>
    <s:xf fontId="1" fillId="5" borderId="8" applyFont="1" applyFill="1" applyBorder="1" applyAlignment="1">
      <s:alignment vertical="center" wrapText="1" vyd:clipText="0" mc:Ignorable="vyd"/>
    </s:xf>
    <s:xf fontId="1" fillId="5" borderId="9" applyFont="1" applyFill="1" applyBorder="1" applyAlignment="1">
      <s:alignment vertical="center" wrapText="1" vyd:clipText="0" mc:Ignorable="vyd"/>
    </s:xf>
    <s:xf numFmtId="165" fillId="5" borderId="6" applyNumberFormat="1" applyFill="1" applyBorder="1" applyAlignment="1">
      <s:alignment horizontal="right" vertical="bottom" wrapText="1" vyd:clipText="0" mc:Ignorable="vyd"/>
    </s:xf>
    <s:xf numFmtId="165" fillId="6" borderId="6" applyNumberFormat="1" applyFill="1" applyBorder="1" applyAlignment="1">
      <s:alignment horizontal="right" vertical="bottom" wrapText="1" vyd:clipText="0" mc:Ignorable="vyd"/>
    </s:xf>
    <s:xf numFmtId="9" applyNumberFormat="1"/>
    <s:xf numFmtId="164" borderId="6" applyNumberFormat="1" applyBorder="1" applyAlignment="1">
      <s:alignment vertical="bottom" wrapText="1" vyd:clipText="0" mc:Ignorable="vyd"/>
    </s:xf>
    <s:xf fontId="2" applyFont="1"/>
    <s:xf numFmtId="0" fontId="3" fillId="0" borderId="0" xfId="0" applyFont="1"/>
    <s:xf numFmtId="165" borderId="6" applyNumberFormat="1" applyBorder="1" applyAlignment="1">
      <s:alignment vertical="bottom" wrapText="1" vyd:clipText="0" mc:Ignorable="vyd"/>
    </s:xf>
    <s:xf applyAlignment="1">
      <s:alignment horizontal="center" mc:Ignorable="vyd"/>
    </s:xf>
    <s:xf borderId="10" applyBorder="1" applyAlignment="1">
      <s:alignment horizontal="center" mc:Ignorable="vyd"/>
    </s:xf>
    <s:xf borderId="11" applyBorder="1" applyAlignment="1">
      <s:alignment horizontal="center" mc:Ignorable="vyd"/>
    </s:xf>
    <s:xf borderId="11" applyBorder="1"/>
    <s:xf borderId="12" applyBorder="1"/>
    <s:xf borderId="13" applyBorder="1"/>
    <s:xf borderId="14" applyBorder="1"/>
    <s:xf borderId="15" applyBorder="1"/>
    <s:xf borderId="6" applyBorder="1" applyAlignment="1">
      <s:alignment horizontal="center" mc:Ignorable="vyd"/>
    </s:xf>
    <s:xf borderId="6" applyBorder="1" applyAlignment="1">
      <s:alignment horizontal="center" vertical="center" mc:Ignorable="vyd"/>
    </s:xf>
    <s:xf fontId="1" borderId="6" applyFont="1" applyBorder="1" applyAlignment="1">
      <s:alignment horizontal="center" vertical="center" mc:Ignorable="vyd"/>
    </s:xf>
    <s:xf fontId="4" borderId="6" applyFont="1" applyBorder="1" applyAlignment="1">
      <s:alignment horizontal="center" vertical="center" mc:Ignorable="vyd"/>
    </s:xf>
    <s:xf fontId="5" borderId="6" applyFont="1" applyBorder="1" applyAlignment="1">
      <s:alignment horizontal="center" vertical="center" mc:Ignorable="vyd"/>
    </s:xf>
    <s:xf fontId="6" borderId="6" applyFont="1" applyBorder="1" applyAlignment="1">
      <s:alignment horizontal="center" vertical="center" mc:Ignorable="vyd"/>
    </s:xf>
    <s:xf fontId="7" borderId="6" applyFont="1" applyBorder="1" applyAlignment="1">
      <s:alignment horizontal="center" vertical="center" mc:Ignorable="vyd"/>
    </s:xf>
    <s:xf fontId="8" borderId="6" applyFont="1" applyBorder="1" applyAlignment="1">
      <s:alignment horizontal="center" vertical="center" mc:Ignorable="vyd"/>
    </s:xf>
    <s:xf numFmtId="165" fontId="8" borderId="6" applyNumberFormat="1" applyFont="1" applyBorder="1" applyAlignment="1">
      <s:alignment horizontal="center" vertical="center" mc:Ignorable="vyd"/>
    </s:xf>
    <s:xf fillId="5" borderId="16" applyFill="1" applyBorder="1" applyAlignment="1">
      <s:alignment wrapText="0" vyd:clipText="0" mc:Ignorable="vyd"/>
    </s:xf>
    <s:xf fillId="5" borderId="16" applyFill="1" applyBorder="1" applyAlignment="1">
      <s:alignment wrapText="1" vyd:clipText="0" mc:Ignorable="vyd"/>
    </s:xf>
    <s:xf numFmtId="0" fillId="5" borderId="6" applyNumberFormat="1" applyFill="1" applyBorder="1" applyAlignment="1">
      <s:alignment vertical="bottom" wrapText="1" vyd:clipText="0" mc:Ignorable="vyd"/>
    </s:xf>
    <s:xf fillId="5" borderId="7" applyFill="1" applyBorder="1" applyAlignment="1">
      <s:alignment vertical="bottom" wrapText="1" vyd:clipText="0" mc:Ignorable="vyd"/>
    </s:xf>
    <s:xf fillId="5" borderId="8" applyFill="1" applyBorder="1" applyAlignment="1">
      <s:alignment vertical="bottom" wrapText="1" vyd:clipText="0" mc:Ignorable="vyd"/>
    </s:xf>
    <s:xf fillId="5" borderId="9" applyFill="1" applyBorder="1" applyAlignment="1">
      <s:alignment vertical="bottom" wrapText="1" vyd:clipText="0" mc:Ignorable="vyd"/>
    </s:xf>
    <s:xf fillId="5" borderId="7" applyFill="1" applyBorder="1" applyAlignment="1">
      <s:alignment horizontal="center" vertical="bottom" wrapText="1" vyd:clipText="0" mc:Ignorable="vyd"/>
    </s:xf>
    <s:xf fillId="5" borderId="8" applyFill="1" applyBorder="1" applyAlignment="1">
      <s:alignment horizontal="center" vertical="bottom" wrapText="1" vyd:clipText="0" mc:Ignorable="vyd"/>
    </s:xf>
    <s:xf fillId="5" borderId="9" applyFill="1" applyBorder="1" applyAlignment="1">
      <s:alignment horizontal="center" vertical="bottom" wrapText="1" vyd:clipText="0" mc:Ignorable="vyd"/>
    </s:xf>
    <s:xf fillId="5" borderId="7" applyFill="1" applyBorder="1" applyAlignment="1">
      <s:alignment horizontal="center" vertical="center" wrapText="1" vyd:clipText="0" mc:Ignorable="vyd"/>
    </s:xf>
    <s:xf fillId="5" borderId="8" applyFill="1" applyBorder="1" applyAlignment="1">
      <s:alignment horizontal="center" vertical="center" wrapText="1" vyd:clipText="0" mc:Ignorable="vyd"/>
    </s:xf>
    <s:xf fillId="5" borderId="9" applyFill="1" applyBorder="1" applyAlignment="1">
      <s:alignment horizontal="center" vertical="center" wrapText="1" vyd:clipText="0" mc:Ignorable="vyd"/>
    </s:xf>
    <s:xf fillId="5" borderId="7" applyFill="1" applyBorder="1" applyAlignment="1">
      <s:alignment horizontal="left" vertical="center" wrapText="1" vyd:clipText="0" mc:Ignorable="vyd"/>
    </s:xf>
    <s:xf fillId="5" borderId="8" applyFill="1" applyBorder="1" applyAlignment="1">
      <s:alignment horizontal="left" vertical="center" wrapText="1" vyd:clipText="0" mc:Ignorable="vyd"/>
    </s:xf>
    <s:xf fillId="5" borderId="9" applyFill="1" applyBorder="1" applyAlignment="1">
      <s:alignment horizontal="left" vertical="center" wrapText="1" vyd:clipText="0" mc:Ignorable="vyd"/>
    </s:xf>
    <s:xf fillId="5" borderId="7" applyFill="1" applyBorder="1" applyAlignment="1">
      <s:alignment vertical="center" wrapText="1" vyd:clipText="0" mc:Ignorable="vyd"/>
    </s:xf>
    <s:xf fillId="5" borderId="8" applyFill="1" applyBorder="1" applyAlignment="1">
      <s:alignment vertical="center" wrapText="1" vyd:clipText="0" mc:Ignorable="vyd"/>
    </s:xf>
    <s:xf fillId="5" borderId="9" applyFill="1" applyBorder="1" applyAlignment="1">
      <s:alignment vertical="center" wrapText="1" vyd:clipText="0" mc:Ignorable="vyd"/>
    </s:xf>
    <s:xf numFmtId="165" fontId="8" borderId="6" applyNumberFormat="1" applyFont="1" applyBorder="1" applyAlignment="1">
      <s:alignment vertical="center" mc:Ignorable="vyd"/>
    </s:xf>
    <s:xf numFmtId="165" fontId="8" borderId="17" applyNumberFormat="1" applyFont="1" applyBorder="1" applyAlignment="1">
      <s:alignment vertical="center" mc:Ignorable="vyd"/>
    </s:xf>
    <s:xf numFmtId="165" fontId="8" borderId="18" applyNumberFormat="1" applyFont="1" applyBorder="1" applyAlignment="1">
      <s:alignment vertical="center" mc:Ignorable="vyd"/>
    </s:xf>
    <s:xf numFmtId="165" fontId="8" borderId="19" applyNumberFormat="1" applyFont="1" applyBorder="1" applyAlignment="1">
      <s:alignment vertical="center" mc:Ignorable="vyd"/>
    </s:xf>
    <s:xf numFmtId="165" fontId="8" borderId="20" applyNumberFormat="1" applyFont="1" applyBorder="1" applyAlignment="1">
      <s:alignment vertical="center" mc:Ignorable="vyd"/>
    </s:xf>
    <s:xf numFmtId="165" fontId="8" borderId="21" applyNumberFormat="1" applyFont="1" applyBorder="1" applyAlignment="1">
      <s:alignment vertical="center" mc:Ignorable="vyd"/>
    </s:xf>
    <s:xf numFmtId="165" fontId="8" borderId="22" applyNumberFormat="1" applyFont="1" applyBorder="1" applyAlignment="1">
      <s:alignment vertical="center" mc:Ignorable="vyd"/>
    </s:xf>
    <s:xf numFmtId="165" fontId="8" borderId="17" applyNumberFormat="1" applyFont="1" applyBorder="1" applyAlignment="1">
      <s:alignment horizontal="center" vertical="center" mc:Ignorable="vyd"/>
    </s:xf>
    <s:xf numFmtId="0" fillId="6" borderId="6" applyNumberFormat="1" applyFill="1" applyBorder="1" applyAlignment="1">
      <s:alignment vertical="bottom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metadata.xml" Type="http://schemas.openxmlformats.org/officeDocument/2006/relationships/sheetMetadata" Id="rId5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8.711" customWidth="1"/>
    <s:col min="2" max="2" width="15.641" customWidth="1"/>
    <s:col min="3" max="3" width="29.672" customWidth="1"/>
  </s:cols>
  <s:sheetData>
    <s:row r="1" ht="14.25">
      <s:c r="A1" s="46" t="s">
        <s:v>1</s:v>
      </s:c>
      <s:c r="B1" s="46" t="s">
        <s:v>2</s:v>
      </s:c>
      <s:c r="C1" s="46" t="s">
        <s:v>3</s:v>
      </s:c>
      <s:c r="D1" s="46" t="s">
        <s:v>4</s:v>
      </s:c>
      <s:c r="E1" s="46" t="s">
        <s:v>94</s:v>
      </s:c>
      <s:c r="F1" s="46" t="s">
        <s:v>6</s:v>
      </s:c>
    </s:row>
    <s:row r="2" ht="14.25">
      <s:c r="A2" s="66" t="s">
        <s:v>93</s:v>
      </s:c>
      <s:c r="B2" s="58" t="s">
        <s:v>49</s:v>
      </s:c>
      <s:c r="C2" s="58" t="s">
        <s:v>67</s:v>
      </s:c>
      <s:c r="D2" s="64">
        <s:v>1</s:v>
      </s:c>
      <s:c r="E2" s="77">
        <s:v>-3166</s:v>
      </s:c>
      <s:c r="F2" s="77">
        <s:f validation_="true">E2*D2</s:f>
        <s:v>-3166</s:v>
      </s:c>
    </s:row>
    <s:row r="3" ht="14.25">
      <s:c r="A3" s="67"/>
      <s:c r="B3" s="58" t="s">
        <s:v>47</s:v>
      </s:c>
      <s:c r="C3" s="58" t="s">
        <s:v>69</s:v>
      </s:c>
      <s:c r="D3" s="64">
        <s:v>500</s:v>
      </s:c>
      <s:c r="E3" s="77">
        <s:v>-109.16</s:v>
      </s:c>
      <s:c r="F3" s="77">
        <s:f validation_="true">E3*D3</s:f>
        <s:v>-54580</s:v>
      </s:c>
    </s:row>
    <s:row r="4" ht="26.25">
      <s:c r="A4" s="67"/>
      <s:c r="B4" s="58" t="s">
        <s:v>70</s:v>
      </s:c>
      <s:c r="C4" s="58" t="s">
        <s:v>89</s:v>
      </s:c>
      <s:c r="D4" s="64">
        <s:v>500</s:v>
      </s:c>
      <s:c r="E4" s="77">
        <s:v>-55</s:v>
      </s:c>
      <s:c r="F4" s="77">
        <s:f validation_="true">E4*D4</s:f>
        <s:v>-27500</s:v>
      </s:c>
    </s:row>
    <s:row r="5" ht="14.25">
      <s:c r="A5" s="67"/>
      <s:c r="B5" s="58" t="s">
        <s:v>44</s:v>
      </s:c>
      <s:c r="C5" s="58" t="s">
        <s:v>71</s:v>
      </s:c>
      <s:c r="D5" s="64">
        <s:v>3</s:v>
      </s:c>
      <s:c r="E5" s="77">
        <s:v>-2598</s:v>
      </s:c>
      <s:c r="F5" s="77">
        <s:f validation_="true">E5*D5</s:f>
        <s:v>-7794</s:v>
      </s:c>
    </s:row>
    <s:row r="6" ht="14.25">
      <s:c r="A6" s="67"/>
      <s:c r="B6" s="113" t="s">
        <s:v>45</s:v>
      </s:c>
      <s:c r="C6" s="103" t="s">
        <s:v>83</s:v>
      </s:c>
      <s:c r="D6" s="64">
        <s:v>1</s:v>
      </s:c>
      <s:c r="E6" s="77">
        <s:v>-16819</s:v>
      </s:c>
      <s:c r="F6" s="77">
        <s:f validation_="true">E6*D6</s:f>
        <s:v>-16819</s:v>
      </s:c>
    </s:row>
    <s:row r="7" ht="26.25">
      <s:c r="A7" s="67"/>
      <s:c r="B7" s="115"/>
      <s:c r="C7" s="58" t="s">
        <s:v>91</s:v>
      </s:c>
      <s:c r="D7" s="64">
        <s:v>1</s:v>
      </s:c>
      <s:c r="E7" s="77">
        <s:v>-49500</s:v>
      </s:c>
      <s:c r="F7" s="77">
        <s:f validation_="true">E7*D7</s:f>
        <s:v>-49500</s:v>
      </s:c>
    </s:row>
    <s:row r="8" ht="26.25">
      <s:c r="A8" s="67"/>
      <s:c r="B8" s="58" t="s">
        <s:v>75</s:v>
      </s:c>
      <s:c r="C8" s="58" t="s">
        <s:v>22</s:v>
      </s:c>
      <s:c r="D8" s="64">
        <s:v>1</s:v>
      </s:c>
      <s:c r="E8" s="77">
        <s:v>-184590</s:v>
      </s:c>
      <s:c r="F8" s="77">
        <s:f validation_="true">E8*D8</s:f>
        <s:v>-184590</s:v>
      </s:c>
    </s:row>
    <s:row r="9" ht="38.25">
      <s:c r="A9" s="67"/>
      <s:c r="B9" s="58" t="s">
        <s:v>76</s:v>
      </s:c>
      <s:c r="C9" s="58" t="s">
        <s:v>25</s:v>
      </s:c>
      <s:c r="D9" s="64">
        <s:v>1</s:v>
      </s:c>
      <s:c r="E9" s="77">
        <s:v>-7560</s:v>
      </s:c>
      <s:c r="F9" s="77">
        <s:f validation_="true">E9*D9</s:f>
        <s:v>-7560</s:v>
      </s:c>
    </s:row>
    <s:row r="10" ht="14.25">
      <s:c r="A10" s="68"/>
      <s:c r="B10" s="113" t="s">
        <s:v>51</s:v>
      </s:c>
      <s:c r="C10" s="58" t="s">
        <s:v>52</s:v>
      </s:c>
      <s:c r="D10" s="64">
        <s:v>1</s:v>
      </s:c>
      <s:c r="E10" s="77">
        <s:v>-2639</s:v>
      </s:c>
      <s:c r="F10" s="77">
        <s:f validation_="true">D10*E10</s:f>
        <s:v>-2639</s:v>
      </s:c>
    </s:row>
    <s:row r="11" ht="14.25">
      <s:c r="A11" s="68"/>
      <s:c r="B11" s="115"/>
      <s:c r="C11" s="58" t="s">
        <s:v>53</s:v>
      </s:c>
      <s:c r="D11" s="64">
        <s:v>1</s:v>
      </s:c>
      <s:c r="E11" s="77">
        <s:v>-3314</s:v>
      </s:c>
      <s:c r="F11" s="77">
        <s:f validation_="true">D11*E11</s:f>
        <s:v>-3314</s:v>
      </s:c>
    </s:row>
    <s:row r="12" ht="230.25">
      <s:c r="A12" s="68"/>
      <s:c r="B12" s="102" t="s">
        <s:v>78</s:v>
      </s:c>
      <s:c r="C12" s="58" t="s">
        <s:v>79</s:v>
      </s:c>
      <s:c r="D12" s="64">
        <s:v>1</s:v>
      </s:c>
      <s:c r="E12" s="77">
        <s:v>-245900</s:v>
      </s:c>
      <s:c r="F12" s="77">
        <s:f validation_="true">E12*D12</s:f>
        <s:v>-245900</s:v>
      </s:c>
    </s:row>
    <s:row r="13" ht="26.25">
      <s:c r="A13" s="60" t="s">
        <s:v>17</s:v>
      </s:c>
      <s:c r="B13" s="61">
        <s:v/>
      </s:c>
      <s:c r="C13" s="61">
        <s:v/>
      </s:c>
      <s:c r="D13" s="61">
        <s:v/>
      </s:c>
      <s:c r="E13" s="78">
        <s:f validation_="true">SUM(E2:E12)</s:f>
        <s:v>-516250.16</s:v>
      </s:c>
      <s:c r="F13" s="78">
        <s:f validation_="true">SUM(F2:F12)</s:f>
        <s:v>-603362</s:v>
      </s:c>
    </s:row>
    <s:row r="14">
      <s:c r="F14">
        <s:v/>
      </s:c>
    </s:row>
    <s:row r="15">
      <s:c r="F15">
        <s:v/>
      </s:c>
    </s:row>
    <s:row r="16" ht="14.25">
      <s:c r="A16" s="46" t="s">
        <s:v>1</s:v>
      </s:c>
      <s:c r="B16" s="46" t="s">
        <s:v>58</s:v>
      </s:c>
      <s:c r="C16" s="46" t="s">
        <s:v>56</s:v>
      </s:c>
      <s:c r="D16" s="46" t="s">
        <s:v>4</s:v>
      </s:c>
      <s:c r="E16" s="46" t="s">
        <s:v>95</s:v>
      </s:c>
      <s:c r="F16" s="46" t="s">
        <s:v>6</s:v>
      </s:c>
      <s:c r="G16" s="0"/>
    </s:row>
    <s:row r="17">
      <s:c r="A17" s="66" t="s">
        <s:v>93</s:v>
      </s:c>
      <s:c r="B17" s="58" t="s">
        <s:v>60</s:v>
      </s:c>
      <s:c r="C17" s="58" t="s">
        <s:v>61</s:v>
      </s:c>
      <s:c r="D17" s="64">
        <s:v>2</s:v>
      </s:c>
      <s:c r="E17" s="72">
        <s:v>9330</s:v>
      </s:c>
      <s:c r="F17" s="72">
        <s:f validation_="true">E17*D17</s:f>
        <s:v>18660</s:v>
      </s:c>
      <s:c r="G17" s="81">
        <s:v>100</s:v>
      </s:c>
      <s:c r="H17" s="81">
        <s:v>100</s:v>
      </s:c>
    </s:row>
    <s:row r="18">
      <s:c r="A18" s="67"/>
      <s:c r="B18" s="58" t="s">
        <s:v>62</s:v>
      </s:c>
      <s:c r="C18" s="58" t="s">
        <s:v>63</s:v>
      </s:c>
      <s:c r="D18" s="64">
        <s:v>2</s:v>
      </s:c>
      <s:c r="E18" s="72">
        <s:v>6150</s:v>
      </s:c>
      <s:c r="F18" s="72">
        <s:f validation_="true">E18*D18</s:f>
        <s:v>12300</s:v>
      </s:c>
      <s:c r="G18" s="82">
        <s:v>100</s:v>
      </s:c>
      <s:c r="H18" s="82">
        <s:v>100</s:v>
      </s:c>
    </s:row>
    <s:row r="19" ht="14.25">
      <s:c r="A19" s="67"/>
      <s:c r="B19" s="113" t="s">
        <s:v>85</s:v>
      </s:c>
      <s:c r="C19" s="113" t="s">
        <s:v>86</s:v>
      </s:c>
      <s:c r="D19" s="64">
        <s:v>1</s:v>
      </s:c>
      <s:c r="E19" s="72">
        <s:v>5500</s:v>
      </s:c>
      <s:c r="F19" s="72">
        <s:f validation_="true">E19*D19</s:f>
        <s:v>5500</s:v>
      </s:c>
      <s:c r="G19" s="82">
        <s:v>100</s:v>
      </s:c>
      <s:c r="H19" s="82">
        <s:v>100</s:v>
      </s:c>
    </s:row>
    <s:row r="20">
      <s:c r="A20" s="67"/>
      <s:c r="B20" s="114"/>
      <s:c r="C20" s="114"/>
      <s:c r="D20" s="64">
        <s:v>1</s:v>
      </s:c>
      <s:c r="E20" s="72">
        <s:v>3500</s:v>
      </s:c>
      <s:c r="F20" s="72">
        <s:f validation_="true">E20*D20</s:f>
        <s:v>3500</s:v>
      </s:c>
      <s:c r="G20" s="82">
        <s:v>100</s:v>
      </s:c>
      <s:c r="H20" s="82">
        <s:v>100</s:v>
      </s:c>
    </s:row>
    <s:row r="21">
      <s:c r="A21" s="67"/>
      <s:c r="B21" s="114"/>
      <s:c r="C21" s="114"/>
      <s:c r="D21" s="64">
        <s:v>1</s:v>
      </s:c>
      <s:c r="E21" s="72">
        <s:v>3510</s:v>
      </s:c>
      <s:c r="F21" s="72">
        <s:f validation_="true">E21*D21</s:f>
        <s:v>3510</s:v>
      </s:c>
      <s:c r="G21" s="82">
        <s:v>100</s:v>
      </s:c>
      <s:c r="H21" s="82">
        <s:v>100</s:v>
      </s:c>
    </s:row>
    <s:row r="22">
      <s:c r="A22" s="67"/>
      <s:c r="B22" s="114"/>
      <s:c r="C22" s="114"/>
      <s:c r="D22" s="64">
        <s:v>1</s:v>
      </s:c>
      <s:c r="E22" s="72">
        <s:v>3900</s:v>
      </s:c>
      <s:c r="F22" s="72">
        <s:f validation_="true">E22*D22</s:f>
        <s:v>3900</s:v>
      </s:c>
      <s:c r="G22" s="82">
        <s:v>100</s:v>
      </s:c>
      <s:c r="H22" s="82">
        <s:v>100</s:v>
      </s:c>
    </s:row>
    <s:row r="23">
      <s:c r="A23" s="67"/>
      <s:c r="B23" s="114"/>
      <s:c r="C23" s="114"/>
      <s:c r="D23" s="64">
        <s:v>1</s:v>
      </s:c>
      <s:c r="E23" s="72">
        <s:v>4675</s:v>
      </s:c>
      <s:c r="F23" s="72">
        <s:f validation_="true">E23*D23</s:f>
        <s:v>4675</s:v>
      </s:c>
      <s:c r="G23" s="82">
        <s:v>100</s:v>
      </s:c>
      <s:c r="H23" s="82">
        <s:v>100</s:v>
      </s:c>
    </s:row>
    <s:row r="24">
      <s:c r="A24" s="67"/>
      <s:c r="B24" s="114"/>
      <s:c r="C24" s="114"/>
      <s:c r="D24" s="64">
        <s:v>1</s:v>
      </s:c>
      <s:c r="E24" s="72">
        <s:v>6800</s:v>
      </s:c>
      <s:c r="F24" s="72">
        <s:f validation_="true">E24*D24</s:f>
        <s:v>6800</s:v>
      </s:c>
      <s:c r="G24" s="82">
        <s:v>100</s:v>
      </s:c>
      <s:c r="H24" s="82">
        <s:v>100</s:v>
      </s:c>
    </s:row>
    <s:row r="25">
      <s:c r="A25" s="67"/>
      <s:c r="B25" s="114"/>
      <s:c r="C25" s="114"/>
      <s:c r="D25" s="64">
        <s:v>1</s:v>
      </s:c>
      <s:c r="E25" s="72">
        <s:v>4950</s:v>
      </s:c>
      <s:c r="F25" s="72">
        <s:f validation_="true">D25*E25</s:f>
        <s:v>4950</s:v>
      </s:c>
      <s:c r="G25" s="82">
        <s:v>100</s:v>
      </s:c>
      <s:c r="H25" s="82">
        <s:v>100</s:v>
      </s:c>
    </s:row>
    <s:row r="26">
      <s:c r="A26" s="67"/>
      <s:c r="B26" s="115"/>
      <s:c r="C26" s="114"/>
      <s:c r="D26" s="64">
        <s:v>1</s:v>
      </s:c>
      <s:c r="E26" s="72">
        <s:v>3500</s:v>
      </s:c>
      <s:c r="F26" s="72">
        <s:f validation_="true">D26*E26</s:f>
        <s:v>3500</s:v>
      </s:c>
      <s:c r="G26" s="82">
        <s:v>100</s:v>
      </s:c>
      <s:c r="H26" s="82">
        <s:v>100</s:v>
      </s:c>
    </s:row>
    <s:row r="27" ht="14.25">
      <s:c r="A27" s="67"/>
      <s:c r="B27" s="113" t="s">
        <s:v>88</s:v>
      </s:c>
      <s:c r="C27" s="114"/>
      <s:c r="D27" s="64">
        <s:v>1</s:v>
      </s:c>
      <s:c r="E27" s="72">
        <s:v>4800</s:v>
      </s:c>
      <s:c r="F27" s="72">
        <s:f validation_="true">E27*D27</s:f>
        <s:v>4800</s:v>
      </s:c>
      <s:c r="G27" s="82">
        <s:v>100</s:v>
      </s:c>
      <s:c r="H27" s="82">
        <s:v>100</s:v>
      </s:c>
    </s:row>
    <s:row r="28">
      <s:c r="A28" s="67"/>
      <s:c r="B28" s="114"/>
      <s:c r="C28" s="114"/>
      <s:c r="D28" s="64">
        <s:v>1</s:v>
      </s:c>
      <s:c r="E28" s="72">
        <s:v>6000</s:v>
      </s:c>
      <s:c r="F28" s="72">
        <s:f validation_="true">E28*D28</s:f>
        <s:v>6000</s:v>
      </s:c>
      <s:c r="G28" s="82">
        <s:v>100</s:v>
      </s:c>
      <s:c r="H28" s="82">
        <s:v>100</s:v>
      </s:c>
    </s:row>
    <s:row r="29">
      <s:c r="A29" s="68"/>
      <s:c r="B29" s="115"/>
      <s:c r="C29" s="115"/>
      <s:c r="D29" s="64">
        <s:v>1</s:v>
      </s:c>
      <s:c r="E29" s="72">
        <s:v>6000</s:v>
      </s:c>
      <s:c r="F29" s="72">
        <s:f validation_="true">E29*D29</s:f>
        <s:v>6000</s:v>
      </s:c>
      <s:c r="G29" s="82">
        <s:v>100</s:v>
      </s:c>
      <s:c r="H29" s="82">
        <s:v>100</s:v>
      </s:c>
    </s:row>
    <s:row r="30" ht="26.25">
      <s:c r="A30" s="60" t="s">
        <s:v>17</s:v>
      </s:c>
      <s:c r="B30" s="61">
        <s:v/>
      </s:c>
      <s:c r="C30" s="61">
        <s:v/>
      </s:c>
      <s:c r="D30" s="127">
        <s:f validation_="true">SUM(D17:D29)</s:f>
        <s:v>15</s:v>
      </s:c>
      <s:c r="E30" s="73">
        <s:f validation_="true">E29+E24+E23+E22+E21+E20+E19+E17</s:f>
        <s:v>43215</s:v>
      </s:c>
      <s:c r="F30" s="73">
        <s:f validation_="true">SUM(F17:F29)</s:f>
        <s:v>84095</s:v>
      </s:c>
      <s:c r="G30" s="82">
        <s:v>100</s:v>
      </s:c>
      <s:c r="H30" s="82">
        <s:v>100</s:v>
      </s:c>
    </s:row>
    <s:row r="32">
      <s:c r="A32" s="99" t="s">
        <s:v>66</s:v>
      </s:c>
      <s:c r="B32" s="126">
        <s:f>F13+F30</s:f>
        <s:v>-519267</s:v>
      </s:c>
      <s:c r="C32" s="121"/>
      <s:c r="D32" s="121"/>
      <s:c r="E32" s="121"/>
      <s:c r="F32" s="122"/>
      <s:c r="G32" s="0"/>
    </s:row>
    <s:row r="33">
      <s:c r="A33" s="99"/>
      <s:c r="B33" s="123"/>
      <s:c r="C33" s="124"/>
      <s:c r="D33" s="124"/>
      <s:c r="E33" s="124"/>
      <s:c r="F33" s="125"/>
      <s:c r="G33" s="0"/>
    </s:row>
  </s:sheetData>
  <s:mergeCells count="9">
    <s:mergeCell ref="A2:A12"/>
    <s:mergeCell ref="A32:A33"/>
    <s:mergeCell ref="A17:A29"/>
    <s:mergeCell ref="B19:B26"/>
    <s:mergeCell ref="B27:B29"/>
    <s:mergeCell ref="C19:C29"/>
    <s:mergeCell ref="B6:B7"/>
    <s:mergeCell ref="B10:B11"/>
    <s:mergeCell ref="B32:F33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dcterms="http://purl.org/dc/terms/" xmlns:cp="http://schemas.openxmlformats.org/package/2006/metadata/core-properties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