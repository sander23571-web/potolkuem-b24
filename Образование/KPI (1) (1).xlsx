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B5ABBEDF-26EB-4A65-8FF1-5C846981B7E4}" xr6:coauthVersionLast="47" xr6:coauthVersionMax="47" xr10:uidLastSave="{00000000-0000-0000-0000-000000000000}"/>
  <bookViews>
    <workbookView xWindow="18090" yWindow="330" windowWidth="29325" windowHeight="20445" tabRatio="738" xr2:uid="{00000000-000D-0000-FFFF-FFFF00000000}"/>
  </bookViews>
  <sheets>
    <sheet name="1" sheetId="10" r:id="rId1"/>
  </sheets>
  <definedNames>
    <definedName name="_xlnm.Print_Area" localSheetId="0">'1'!$A$1:$P$17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0" l="1"/>
  <c r="M15" i="10"/>
  <c r="M16" i="10"/>
  <c r="M17" i="10"/>
  <c r="M13" i="10"/>
  <c r="M12" i="10"/>
  <c r="J13" i="10"/>
  <c r="J14" i="10"/>
  <c r="J15" i="10"/>
  <c r="J16" i="10"/>
  <c r="J12" i="10"/>
  <c r="I11" i="10"/>
  <c r="G11" i="10"/>
  <c r="F11" i="10"/>
  <c r="M11" i="10" l="1"/>
  <c r="J11" i="10"/>
  <c r="A7" i="10" l="1"/>
  <c r="A8" i="10" l="1"/>
  <c r="A9" i="10" s="1"/>
  <c r="A10" i="10" s="1"/>
  <c r="A11" i="10" s="1"/>
</calcChain>
</file>

<file path=xl/sharedStrings.xml><?xml version="1.0" encoding="utf-8"?>
<sst xmlns="http://schemas.openxmlformats.org/spreadsheetml/2006/main" count="30" uniqueCount="29">
  <si>
    <t>№ п/п</t>
  </si>
  <si>
    <t>РХ, тыс.₽</t>
  </si>
  <si>
    <t>Выставки/Эффективность</t>
  </si>
  <si>
    <t>ВЕДУЩИЙ</t>
  </si>
  <si>
    <t>Егор</t>
  </si>
  <si>
    <t>Екатерина</t>
  </si>
  <si>
    <t>Ольга</t>
  </si>
  <si>
    <t>Даня</t>
  </si>
  <si>
    <t>Даша</t>
  </si>
  <si>
    <t>Илья</t>
  </si>
  <si>
    <r>
      <rPr>
        <b/>
        <sz val="28"/>
        <rFont val="Times New Roman"/>
        <family val="1"/>
        <charset val="204"/>
      </rPr>
      <t>контакты</t>
    </r>
    <r>
      <rPr>
        <sz val="28"/>
        <rFont val="Times New Roman"/>
        <family val="1"/>
        <charset val="204"/>
      </rPr>
      <t xml:space="preserve">
шт</t>
    </r>
  </si>
  <si>
    <r>
      <rPr>
        <b/>
        <sz val="28"/>
        <rFont val="Times New Roman"/>
        <family val="1"/>
        <charset val="204"/>
      </rPr>
      <t>подписки</t>
    </r>
    <r>
      <rPr>
        <sz val="28"/>
        <rFont val="Times New Roman"/>
        <family val="1"/>
        <charset val="204"/>
      </rPr>
      <t xml:space="preserve">
шт</t>
    </r>
  </si>
  <si>
    <t>ВСЕГО:</t>
  </si>
  <si>
    <t xml:space="preserve">
QR
code</t>
  </si>
  <si>
    <t xml:space="preserve">ПРОДАЖИ </t>
  </si>
  <si>
    <t>1. Красноречие 6800
2. Классика 5500
3.
4.</t>
  </si>
  <si>
    <t>1. Классика 5500
2. Диалекты: Поморский край 3900 
3. 
4.
5.</t>
  </si>
  <si>
    <t>1. Классика 5500
2. Рекламная пауза 2 шт. 3900
3. 
4.</t>
  </si>
  <si>
    <t>B2B</t>
  </si>
  <si>
    <t>1. Рекламная пауза 3900
2.</t>
  </si>
  <si>
    <t>1. Диалекты:Сибирь 3900
2. Красноречие 6800
3. Рекламная пауза 3900</t>
  </si>
  <si>
    <t>Кол-во</t>
  </si>
  <si>
    <t>Ставка при выполнении плана</t>
  </si>
  <si>
    <t>Стандартный выход</t>
  </si>
  <si>
    <t>(+20%)</t>
  </si>
  <si>
    <t>Примечание</t>
  </si>
  <si>
    <r>
      <rPr>
        <b/>
        <sz val="45"/>
        <color theme="1"/>
        <rFont val="Times New Roman"/>
        <family val="1"/>
        <charset val="204"/>
      </rPr>
      <t>ИТОГО</t>
    </r>
    <r>
      <rPr>
        <b/>
        <sz val="36"/>
        <color theme="1"/>
        <rFont val="Times New Roman"/>
        <family val="1"/>
        <charset val="204"/>
      </rPr>
      <t xml:space="preserve">
(выход, план, продажи)</t>
    </r>
  </si>
  <si>
    <t>₽</t>
  </si>
  <si>
    <t>РХ, .₽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</si>
</sst>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₽&quot;;[Red]\-#,##0\ &quot;₽&quot;"/>
    <numFmt numFmtId="164" formatCode="#,##0,"/>
    <numFmt numFmtId="165" formatCode="#,##0.000,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2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  <font>
      <b/>
      <sz val="48"/>
      <color theme="1"/>
      <name val="Times New Roman"/>
      <family val="1"/>
      <charset val="204"/>
    </font>
    <font>
      <sz val="8"/>
      <name val="Calibri"/>
      <family val="2"/>
      <scheme val="minor"/>
    </font>
    <font>
      <sz val="24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b/>
      <sz val="24"/>
      <name val="Times New Roman"/>
      <family val="1"/>
      <charset val="204"/>
    </font>
    <font>
      <sz val="24"/>
      <name val="Times New Roman"/>
      <family val="1"/>
      <charset val="204"/>
    </font>
    <font>
      <sz val="26"/>
      <name val="Times New Roman"/>
      <family val="1"/>
      <charset val="204"/>
    </font>
    <font>
      <b/>
      <sz val="72"/>
      <name val="Times New Roman"/>
      <family val="1"/>
      <charset val="204"/>
    </font>
    <font>
      <b/>
      <sz val="72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28"/>
      <name val="Times New Roman"/>
      <family val="1"/>
      <charset val="204"/>
    </font>
    <font>
      <sz val="20"/>
      <name val="Times New Roman"/>
      <family val="1"/>
      <charset val="204"/>
    </font>
    <font>
      <b/>
      <sz val="36"/>
      <name val="Times New Roman"/>
      <family val="1"/>
      <charset val="204"/>
    </font>
    <font>
      <b/>
      <sz val="31"/>
      <color theme="1"/>
      <name val="Times New Roman"/>
      <family val="1"/>
      <charset val="204"/>
    </font>
    <font>
      <b/>
      <sz val="31"/>
      <name val="Times New Roman"/>
      <family val="1"/>
      <charset val="204"/>
    </font>
    <font>
      <sz val="22"/>
      <color theme="1"/>
      <name val="Times New Roman"/>
      <family val="1"/>
      <charset val="204"/>
    </font>
    <font>
      <b/>
      <sz val="36"/>
      <color rgb="FF00B050"/>
      <name val="Times New Roman"/>
      <family val="1"/>
      <charset val="204"/>
    </font>
    <font>
      <sz val="31"/>
      <name val="Times New Roman"/>
      <family val="1"/>
      <charset val="204"/>
    </font>
    <font>
      <sz val="22"/>
      <name val="Times New Roman"/>
      <family val="1"/>
      <charset val="204"/>
    </font>
    <font>
      <sz val="30"/>
      <color theme="1"/>
      <name val="Times New Roman"/>
      <family val="1"/>
      <charset val="204"/>
    </font>
    <font>
      <sz val="40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b/>
      <sz val="45"/>
      <color theme="1"/>
      <name val="Times New Roman"/>
      <family val="1"/>
      <charset val="204"/>
    </font>
    <font>
      <b/>
      <sz val="30"/>
      <name val="Times New Roman"/>
      <family val="1"/>
      <charset val="204"/>
    </font>
    <font>
      <sz val="6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A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24994659260841701"/>
      </left>
      <right style="thin">
        <color theme="1" tint="0.499984740745262"/>
      </right>
      <top/>
      <bottom/>
      <diagonal/>
    </border>
    <border>
      <left/>
      <right/>
      <top style="thin">
        <color theme="1" tint="0.499984740745262"/>
      </top>
      <bottom/>
      <diagonal/>
    </border>
    <border>
      <left style="medium">
        <color theme="0" tint="-0.24994659260841701"/>
      </left>
      <right style="thin">
        <color theme="1" tint="0.499984740745262"/>
      </right>
      <top style="medium">
        <color theme="0" tint="-0.34998626667073579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0" tint="-0.34998626667073579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/>
    <xf numFmtId="0" fontId="16" fillId="0" borderId="0"/>
  </cellStyleXfs>
  <cellXfs count="8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2" borderId="0" xfId="0" applyFont="1" applyFill="1" applyAlignment="1">
      <alignment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5" fillId="2" borderId="0" xfId="0" applyFont="1" applyFill="1" applyAlignment="1">
      <alignment wrapText="1"/>
    </xf>
    <xf numFmtId="4" fontId="7" fillId="0" borderId="0" xfId="0" applyNumberFormat="1" applyFont="1" applyAlignment="1">
      <alignment wrapText="1"/>
    </xf>
    <xf numFmtId="0" fontId="10" fillId="2" borderId="0" xfId="0" applyFont="1" applyFill="1" applyAlignment="1">
      <alignment wrapText="1"/>
    </xf>
    <xf numFmtId="0" fontId="10" fillId="0" borderId="0" xfId="0" applyFont="1"/>
    <xf numFmtId="2" fontId="15" fillId="2" borderId="0" xfId="0" applyNumberFormat="1" applyFont="1" applyFill="1" applyAlignment="1">
      <alignment wrapText="1"/>
    </xf>
    <xf numFmtId="0" fontId="6" fillId="0" borderId="6" xfId="0" applyFont="1" applyBorder="1" applyAlignment="1">
      <alignment wrapText="1"/>
    </xf>
    <xf numFmtId="0" fontId="17" fillId="0" borderId="6" xfId="0" applyFont="1" applyBorder="1" applyAlignment="1">
      <alignment horizontal="center" vertical="center" wrapText="1"/>
    </xf>
    <xf numFmtId="0" fontId="22" fillId="0" borderId="0" xfId="0" applyFont="1"/>
    <xf numFmtId="0" fontId="9" fillId="4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8" xfId="0" applyFont="1" applyBorder="1"/>
    <xf numFmtId="1" fontId="4" fillId="4" borderId="14" xfId="0" applyNumberFormat="1" applyFont="1" applyFill="1" applyBorder="1" applyAlignment="1">
      <alignment horizontal="center" vertical="center"/>
    </xf>
    <xf numFmtId="3" fontId="13" fillId="0" borderId="10" xfId="0" applyNumberFormat="1" applyFont="1" applyBorder="1" applyAlignment="1">
      <alignment horizontal="right" vertical="center" wrapText="1" indent="1"/>
    </xf>
    <xf numFmtId="0" fontId="4" fillId="4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 indent="1"/>
    </xf>
    <xf numFmtId="0" fontId="18" fillId="0" borderId="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 inden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19" fillId="5" borderId="1" xfId="0" applyNumberFormat="1" applyFont="1" applyFill="1" applyBorder="1" applyAlignment="1">
      <alignment horizontal="center" vertical="center"/>
    </xf>
    <xf numFmtId="3" fontId="26" fillId="5" borderId="5" xfId="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3" fontId="26" fillId="2" borderId="5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3" fontId="13" fillId="0" borderId="2" xfId="0" applyNumberFormat="1" applyFont="1" applyBorder="1" applyAlignment="1">
      <alignment horizontal="left" vertical="top" wrapText="1"/>
    </xf>
    <xf numFmtId="165" fontId="25" fillId="6" borderId="4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3" fontId="19" fillId="6" borderId="1" xfId="0" applyNumberFormat="1" applyFont="1" applyFill="1" applyBorder="1" applyAlignment="1">
      <alignment horizontal="right" vertical="center" indent="1"/>
    </xf>
    <xf numFmtId="0" fontId="19" fillId="4" borderId="2" xfId="0" applyFont="1" applyFill="1" applyBorder="1" applyAlignment="1">
      <alignment horizontal="right" vertical="center" wrapText="1" indent="1"/>
    </xf>
    <xf numFmtId="0" fontId="27" fillId="3" borderId="3" xfId="0" applyFont="1" applyFill="1" applyBorder="1" applyAlignment="1">
      <alignment horizontal="left" vertical="center" wrapText="1" indent="1"/>
    </xf>
    <xf numFmtId="3" fontId="24" fillId="7" borderId="1" xfId="0" applyNumberFormat="1" applyFont="1" applyFill="1" applyBorder="1" applyAlignment="1">
      <alignment vertical="center" wrapText="1"/>
    </xf>
    <xf numFmtId="9" fontId="23" fillId="2" borderId="5" xfId="0" applyNumberFormat="1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9" fontId="28" fillId="2" borderId="5" xfId="0" applyNumberFormat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 wrapText="1"/>
    </xf>
    <xf numFmtId="3" fontId="27" fillId="7" borderId="1" xfId="0" applyNumberFormat="1" applyFont="1" applyFill="1" applyBorder="1" applyAlignment="1">
      <alignment horizontal="center" vertical="center" wrapText="1"/>
    </xf>
    <xf numFmtId="3" fontId="27" fillId="8" borderId="1" xfId="0" applyNumberFormat="1" applyFont="1" applyFill="1" applyBorder="1" applyAlignment="1">
      <alignment horizontal="center"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6" fontId="30" fillId="2" borderId="17" xfId="0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2" xr:uid="{979BAF84-2107-4863-9BDA-01AABDC3545F}"/>
    <cellStyle name="Обычный 2 2" xfId="1" xr:uid="{00000000-0005-0000-0000-000001000000}"/>
  </cellStyles>
  <dxfs count="0"/>
  <tableStyles count="0" defaultTableStyle="TableStyleMedium2" defaultPivotStyle="PivotStyleMedium9"/>
  <colors>
    <mruColors>
      <color rgb="FFFFFF99"/>
      <color rgb="FFE7EED6"/>
      <color rgb="FFDAE6C0"/>
      <color rgb="FF8FFFC2"/>
      <color rgb="FFFFFFA7"/>
      <color rgb="FFFFFFCC"/>
      <color rgb="FFFFB9B9"/>
      <color rgb="FFFFCDCD"/>
      <color rgb="FFFFA3A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1333500</xdr:colOff>
      <xdr:row>4</xdr:row>
      <xdr:rowOff>10501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545DDA3-CE4D-A8EA-FDEB-AB59DDB1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53591" cy="2504319"/>
        </a:xfrm>
        <a:prstGeom prst="rect">
          <a:avLst/>
        </a:prstGeom>
      </xdr:spPr>
    </xdr:pic>
    <xdr:clientData/>
  </xdr:twoCellAnchor>
  <xdr:twoCellAnchor editAs="oneCell">
    <xdr:from>
      <xdr:col>4</xdr:col>
      <xdr:colOff>86590</xdr:colOff>
      <xdr:row>7</xdr:row>
      <xdr:rowOff>935182</xdr:rowOff>
    </xdr:from>
    <xdr:to>
      <xdr:col>4</xdr:col>
      <xdr:colOff>3013363</xdr:colOff>
      <xdr:row>10</xdr:row>
      <xdr:rowOff>640773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4B4BBD4-A5F7-A2D2-213E-F0C8396EF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9635" y="5437909"/>
          <a:ext cx="2926773" cy="2926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9"/>
  <sheetViews>
    <sheetView showGridLines="0" tabSelected="1" view="pageBreakPreview" zoomScale="40" zoomScaleNormal="40" zoomScaleSheetLayoutView="40" zoomScalePageLayoutView="55" workbookViewId="0">
      <selection activeCell="L15" sqref="L15"/>
    </sheetView>
  </sheetViews>
  <sheetFormatPr defaultColWidth="9.140625" defaultRowHeight="30.75" x14ac:dyDescent="0.45"/>
  <cols>
    <col min="1" max="1" width="8.28515625" style="1" customWidth="1"/>
    <col min="2" max="3" width="6.42578125" style="1" customWidth="1"/>
    <col min="4" max="4" width="63.5703125" style="1" customWidth="1"/>
    <col min="5" max="5" width="46.28515625" style="1" customWidth="1"/>
    <col min="6" max="7" width="32" style="1" customWidth="1"/>
    <col min="8" max="8" width="69.140625" style="1" customWidth="1"/>
    <col min="9" max="9" width="29.140625" style="1" customWidth="1"/>
    <col min="10" max="10" width="28.42578125" style="1" customWidth="1"/>
    <col min="11" max="12" width="45.5703125" style="1" customWidth="1"/>
    <col min="13" max="13" width="52.42578125" style="1" customWidth="1"/>
    <col min="14" max="14" width="58.7109375" style="1" customWidth="1"/>
    <col min="15" max="15" width="64.85546875" style="1" customWidth="1"/>
    <col min="16" max="16" width="8.5703125" style="8" customWidth="1"/>
    <col min="17" max="17" width="59.5703125" style="8" customWidth="1"/>
    <col min="18" max="18" width="9.7109375" style="8" customWidth="1"/>
    <col min="19" max="19" width="65.5703125" style="1" customWidth="1"/>
    <col min="20" max="26" width="24.42578125" style="1" customWidth="1"/>
    <col min="27" max="27" width="21.42578125" style="1" customWidth="1"/>
    <col min="28" max="35" width="18.5703125" style="1" customWidth="1"/>
    <col min="36" max="36" width="21.42578125" style="1" customWidth="1"/>
    <col min="37" max="37" width="9.140625" style="1"/>
    <col min="38" max="38" width="24.85546875" style="1" customWidth="1"/>
    <col min="39" max="45" width="13.7109375" style="1" customWidth="1"/>
    <col min="46" max="47" width="12.28515625" style="1" customWidth="1"/>
    <col min="48" max="16384" width="9.140625" style="1"/>
  </cols>
  <sheetData>
    <row r="1" spans="1:36" x14ac:dyDescent="0.45">
      <c r="A1" s="5"/>
      <c r="B1" s="5"/>
      <c r="C1" s="5"/>
    </row>
    <row r="2" spans="1:36" x14ac:dyDescent="0.45">
      <c r="A2" s="5"/>
      <c r="B2" s="5"/>
      <c r="C2" s="5"/>
    </row>
    <row r="3" spans="1:36" x14ac:dyDescent="0.45">
      <c r="A3" s="5"/>
      <c r="B3" s="5"/>
      <c r="C3" s="5"/>
    </row>
    <row r="4" spans="1:36" ht="102.75" customHeight="1" x14ac:dyDescent="0.45">
      <c r="A4" s="5"/>
      <c r="B4" s="5"/>
      <c r="C4" s="5"/>
    </row>
    <row r="5" spans="1:36" ht="65.25" customHeight="1" x14ac:dyDescent="0.3">
      <c r="A5" s="42" t="s">
        <v>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9"/>
      <c r="Q5" s="9"/>
      <c r="R5" s="9"/>
      <c r="S5" s="6"/>
      <c r="T5" s="6"/>
      <c r="U5" s="6"/>
      <c r="V5" s="6"/>
      <c r="W5" s="6"/>
      <c r="X5" s="6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s="8" customFormat="1" ht="39.75" customHeight="1" x14ac:dyDescent="0.45">
      <c r="A6" s="31">
        <v>1</v>
      </c>
      <c r="B6" s="34">
        <v>2</v>
      </c>
      <c r="C6" s="32">
        <v>3</v>
      </c>
      <c r="D6" s="26">
        <v>4</v>
      </c>
      <c r="E6" s="31">
        <v>5</v>
      </c>
      <c r="F6" s="40">
        <v>6</v>
      </c>
      <c r="G6" s="48"/>
      <c r="H6" s="26">
        <v>7</v>
      </c>
      <c r="I6" s="26">
        <v>8</v>
      </c>
      <c r="J6" s="26">
        <v>9</v>
      </c>
      <c r="K6" s="26">
        <v>10</v>
      </c>
      <c r="L6" s="26">
        <v>11</v>
      </c>
      <c r="M6" s="26">
        <v>12</v>
      </c>
      <c r="N6" s="26">
        <v>13</v>
      </c>
      <c r="O6" s="26">
        <v>14</v>
      </c>
    </row>
    <row r="7" spans="1:36" ht="53.25" customHeight="1" x14ac:dyDescent="0.45">
      <c r="A7" s="33">
        <f>A6+1</f>
        <v>2</v>
      </c>
      <c r="B7" s="37" t="s">
        <v>0</v>
      </c>
      <c r="C7" s="37" t="s">
        <v>0</v>
      </c>
      <c r="D7" s="43" t="s">
        <v>3</v>
      </c>
      <c r="E7" s="49" t="s">
        <v>13</v>
      </c>
      <c r="F7" s="65" t="s">
        <v>21</v>
      </c>
      <c r="G7" s="66"/>
      <c r="H7" s="59" t="s">
        <v>14</v>
      </c>
      <c r="I7" s="60"/>
      <c r="J7" s="75" t="s">
        <v>24</v>
      </c>
      <c r="K7" s="56" t="s">
        <v>23</v>
      </c>
      <c r="L7" s="56" t="s">
        <v>22</v>
      </c>
      <c r="M7" s="78" t="s">
        <v>26</v>
      </c>
      <c r="N7" s="56" t="s">
        <v>18</v>
      </c>
      <c r="O7" s="56" t="s">
        <v>25</v>
      </c>
    </row>
    <row r="8" spans="1:36" ht="105" customHeight="1" x14ac:dyDescent="0.45">
      <c r="A8" s="26">
        <f>A7+1</f>
        <v>3</v>
      </c>
      <c r="B8" s="38"/>
      <c r="C8" s="38"/>
      <c r="D8" s="44"/>
      <c r="E8" s="50"/>
      <c r="F8" s="67"/>
      <c r="G8" s="68"/>
      <c r="H8" s="61"/>
      <c r="I8" s="62"/>
      <c r="J8" s="76"/>
      <c r="K8" s="57"/>
      <c r="L8" s="57"/>
      <c r="M8" s="76"/>
      <c r="N8" s="57"/>
      <c r="O8" s="57"/>
      <c r="Q8" s="41"/>
      <c r="R8" s="41"/>
    </row>
    <row r="9" spans="1:36" ht="70.5" customHeight="1" x14ac:dyDescent="0.45">
      <c r="A9" s="26">
        <f t="shared" ref="A9:A10" si="0">A8+1</f>
        <v>4</v>
      </c>
      <c r="B9" s="38"/>
      <c r="C9" s="38"/>
      <c r="D9" s="44"/>
      <c r="E9" s="50"/>
      <c r="F9" s="69"/>
      <c r="G9" s="70"/>
      <c r="H9" s="63"/>
      <c r="I9" s="64"/>
      <c r="J9" s="77"/>
      <c r="K9" s="57"/>
      <c r="L9" s="57"/>
      <c r="M9" s="77"/>
      <c r="N9" s="57"/>
      <c r="O9" s="57"/>
      <c r="Q9" s="11"/>
      <c r="R9" s="11"/>
    </row>
    <row r="10" spans="1:36" s="3" customFormat="1" ht="78" customHeight="1" thickBot="1" x14ac:dyDescent="0.45">
      <c r="A10" s="26">
        <f t="shared" si="0"/>
        <v>5</v>
      </c>
      <c r="B10" s="38"/>
      <c r="C10" s="39"/>
      <c r="D10" s="45"/>
      <c r="E10" s="50"/>
      <c r="F10" s="35" t="s">
        <v>10</v>
      </c>
      <c r="G10" s="35" t="s">
        <v>11</v>
      </c>
      <c r="H10" s="53"/>
      <c r="I10" s="79" t="s">
        <v>28</v>
      </c>
      <c r="J10" s="80" t="s">
        <v>27</v>
      </c>
      <c r="K10" s="58"/>
      <c r="L10" s="58"/>
      <c r="M10" s="79" t="s">
        <v>1</v>
      </c>
      <c r="N10" s="57"/>
      <c r="O10" s="57"/>
      <c r="P10" s="20"/>
      <c r="Q10" s="10"/>
      <c r="R10" s="10"/>
    </row>
    <row r="11" spans="1:36" s="17" customFormat="1" ht="72" customHeight="1" x14ac:dyDescent="1.1499999999999999">
      <c r="A11" s="25">
        <f>A10+1</f>
        <v>6</v>
      </c>
      <c r="B11" s="28">
        <v>1</v>
      </c>
      <c r="C11" s="30"/>
      <c r="D11" s="72" t="s">
        <v>12</v>
      </c>
      <c r="E11" s="51"/>
      <c r="F11" s="46">
        <f>SUM(F12:F17)</f>
        <v>14</v>
      </c>
      <c r="G11" s="46">
        <f>SUM(G12:G17)</f>
        <v>4</v>
      </c>
      <c r="H11" s="55"/>
      <c r="I11" s="71">
        <f>SUM(I12:I17)</f>
        <v>49600</v>
      </c>
      <c r="J11" s="71">
        <f>SUM(J12:J17)</f>
        <v>9920</v>
      </c>
      <c r="K11" s="84">
        <v>3000</v>
      </c>
      <c r="L11" s="84">
        <v>5000</v>
      </c>
      <c r="M11" s="71">
        <f>SUM(M12:M17)</f>
        <v>21920</v>
      </c>
      <c r="N11" s="58"/>
      <c r="O11" s="58"/>
      <c r="P11" s="21"/>
      <c r="Q11" s="14"/>
      <c r="R11" s="14"/>
      <c r="S11" s="15"/>
      <c r="T11" s="16"/>
    </row>
    <row r="12" spans="1:36" s="4" customFormat="1" ht="242.25" customHeight="1" x14ac:dyDescent="0.8">
      <c r="A12" s="26">
        <v>7</v>
      </c>
      <c r="B12" s="22"/>
      <c r="C12" s="23">
        <v>1</v>
      </c>
      <c r="D12" s="73" t="s">
        <v>4</v>
      </c>
      <c r="E12" s="52"/>
      <c r="F12" s="47">
        <v>1</v>
      </c>
      <c r="G12" s="47">
        <v>1</v>
      </c>
      <c r="H12" s="54" t="s">
        <v>15</v>
      </c>
      <c r="I12" s="74">
        <v>12300</v>
      </c>
      <c r="J12" s="74">
        <f>I12-I12*80%</f>
        <v>2460</v>
      </c>
      <c r="K12" s="81">
        <v>3000</v>
      </c>
      <c r="L12" s="82">
        <v>0</v>
      </c>
      <c r="M12" s="83">
        <f>J12+K12+L12</f>
        <v>5460</v>
      </c>
      <c r="N12" s="29"/>
      <c r="O12" s="29"/>
      <c r="P12" s="19"/>
      <c r="Q12" s="12"/>
      <c r="R12" s="13"/>
      <c r="S12" s="18"/>
      <c r="T12" s="7"/>
    </row>
    <row r="13" spans="1:36" s="4" customFormat="1" ht="242.25" customHeight="1" x14ac:dyDescent="0.8">
      <c r="A13" s="26">
        <v>8</v>
      </c>
      <c r="B13" s="22"/>
      <c r="C13" s="23">
        <v>2</v>
      </c>
      <c r="D13" s="73" t="s">
        <v>5</v>
      </c>
      <c r="E13" s="52"/>
      <c r="F13" s="47">
        <v>2</v>
      </c>
      <c r="G13" s="47">
        <v>0</v>
      </c>
      <c r="H13" s="54" t="s">
        <v>17</v>
      </c>
      <c r="I13" s="74">
        <v>9400</v>
      </c>
      <c r="J13" s="74">
        <f t="shared" ref="J13:J17" si="1">I13-I13*80%</f>
        <v>1880</v>
      </c>
      <c r="K13" s="81">
        <v>3000</v>
      </c>
      <c r="L13" s="81">
        <v>0</v>
      </c>
      <c r="M13" s="83">
        <f t="shared" ref="M13:M17" si="2">J13+K13+L13</f>
        <v>4880</v>
      </c>
      <c r="N13" s="29"/>
      <c r="O13" s="29"/>
      <c r="P13" s="19"/>
      <c r="Q13" s="12"/>
      <c r="R13" s="13"/>
      <c r="S13" s="18"/>
      <c r="T13" s="7"/>
    </row>
    <row r="14" spans="1:36" s="4" customFormat="1" ht="242.25" customHeight="1" x14ac:dyDescent="0.8">
      <c r="A14" s="26">
        <v>9</v>
      </c>
      <c r="B14" s="22"/>
      <c r="C14" s="23">
        <v>3</v>
      </c>
      <c r="D14" s="73" t="s">
        <v>6</v>
      </c>
      <c r="E14" s="52"/>
      <c r="F14" s="47">
        <v>2</v>
      </c>
      <c r="G14" s="47">
        <v>1</v>
      </c>
      <c r="H14" s="54" t="s">
        <v>16</v>
      </c>
      <c r="I14" s="74">
        <v>9400</v>
      </c>
      <c r="J14" s="74">
        <f t="shared" si="1"/>
        <v>1880</v>
      </c>
      <c r="K14" s="82">
        <v>0</v>
      </c>
      <c r="L14" s="82">
        <v>0</v>
      </c>
      <c r="M14" s="83">
        <f t="shared" si="2"/>
        <v>1880</v>
      </c>
      <c r="N14" s="29"/>
      <c r="O14" s="29"/>
      <c r="P14" s="19"/>
      <c r="Q14" s="12"/>
      <c r="R14" s="13"/>
      <c r="S14" s="18"/>
      <c r="T14" s="7"/>
    </row>
    <row r="15" spans="1:36" s="4" customFormat="1" ht="242.25" customHeight="1" x14ac:dyDescent="0.8">
      <c r="A15" s="26">
        <v>10</v>
      </c>
      <c r="B15" s="22"/>
      <c r="C15" s="23">
        <v>4</v>
      </c>
      <c r="D15" s="73" t="s">
        <v>7</v>
      </c>
      <c r="E15" s="52"/>
      <c r="F15" s="47">
        <v>2</v>
      </c>
      <c r="G15" s="47">
        <v>1</v>
      </c>
      <c r="H15" s="54" t="s">
        <v>19</v>
      </c>
      <c r="I15" s="74">
        <v>3900</v>
      </c>
      <c r="J15" s="74">
        <f t="shared" si="1"/>
        <v>780</v>
      </c>
      <c r="K15" s="81">
        <v>3000</v>
      </c>
      <c r="L15" s="82">
        <v>0</v>
      </c>
      <c r="M15" s="83">
        <f t="shared" si="2"/>
        <v>3780</v>
      </c>
      <c r="N15" s="29"/>
      <c r="O15" s="29"/>
      <c r="P15" s="19"/>
      <c r="Q15" s="12"/>
      <c r="R15" s="13"/>
      <c r="S15" s="18"/>
      <c r="T15" s="7"/>
    </row>
    <row r="16" spans="1:36" s="4" customFormat="1" ht="242.25" customHeight="1" x14ac:dyDescent="0.8">
      <c r="A16" s="26">
        <v>11</v>
      </c>
      <c r="B16" s="22"/>
      <c r="C16" s="23">
        <v>5</v>
      </c>
      <c r="D16" s="73" t="s">
        <v>8</v>
      </c>
      <c r="E16" s="52"/>
      <c r="F16" s="47">
        <v>3</v>
      </c>
      <c r="G16" s="47">
        <v>1</v>
      </c>
      <c r="H16" s="54" t="s">
        <v>20</v>
      </c>
      <c r="I16" s="74">
        <v>14600</v>
      </c>
      <c r="J16" s="74">
        <f t="shared" si="1"/>
        <v>2920</v>
      </c>
      <c r="K16" s="81">
        <v>3000</v>
      </c>
      <c r="L16" s="82">
        <v>0</v>
      </c>
      <c r="M16" s="83">
        <f t="shared" si="2"/>
        <v>5920</v>
      </c>
      <c r="N16" s="29"/>
      <c r="O16" s="29"/>
      <c r="P16" s="19"/>
      <c r="Q16" s="12"/>
      <c r="R16" s="13"/>
      <c r="S16" s="18"/>
      <c r="T16" s="7"/>
    </row>
    <row r="17" spans="1:20" s="4" customFormat="1" ht="242.25" customHeight="1" x14ac:dyDescent="0.8">
      <c r="A17" s="26">
        <v>12</v>
      </c>
      <c r="B17" s="22"/>
      <c r="C17" s="23">
        <v>6</v>
      </c>
      <c r="D17" s="73" t="s">
        <v>9</v>
      </c>
      <c r="E17" s="52"/>
      <c r="F17" s="47">
        <v>4</v>
      </c>
      <c r="G17" s="47">
        <v>0</v>
      </c>
      <c r="H17" s="54"/>
      <c r="I17" s="74"/>
      <c r="J17" s="74"/>
      <c r="K17" s="82">
        <v>0</v>
      </c>
      <c r="L17" s="82">
        <v>0</v>
      </c>
      <c r="M17" s="83">
        <f t="shared" si="2"/>
        <v>0</v>
      </c>
      <c r="N17" s="29"/>
      <c r="O17" s="29"/>
      <c r="P17" s="19"/>
      <c r="Q17" s="12"/>
      <c r="R17" s="13"/>
      <c r="S17" s="18"/>
      <c r="T17" s="7"/>
    </row>
    <row r="18" spans="1:20" ht="55.5" customHeight="1" x14ac:dyDescent="0.45">
      <c r="I18" s="27"/>
      <c r="J18" s="27"/>
      <c r="M18" s="27"/>
    </row>
    <row r="19" spans="1:20" ht="107.45" customHeight="1" x14ac:dyDescent="0.45">
      <c r="A19" s="24"/>
    </row>
  </sheetData>
  <mergeCells count="15">
    <mergeCell ref="Q8:R8"/>
    <mergeCell ref="K7:K10"/>
    <mergeCell ref="J7:J9"/>
    <mergeCell ref="N7:N11"/>
    <mergeCell ref="L7:L10"/>
    <mergeCell ref="O7:O11"/>
    <mergeCell ref="M7:M9"/>
    <mergeCell ref="A5:O5"/>
    <mergeCell ref="B7:B10"/>
    <mergeCell ref="D7:D10"/>
    <mergeCell ref="C7:C10"/>
    <mergeCell ref="F7:G9"/>
    <mergeCell ref="F6:G6"/>
    <mergeCell ref="E7:E11"/>
    <mergeCell ref="H7:I9"/>
  </mergeCells>
  <phoneticPr fontId="8" type="noConversion"/>
  <pageMargins left="0.39370078740157483" right="0.19685039370078741" top="0.19685039370078741" bottom="0.19685039370078741" header="0.31496062992125984" footer="0.31496062992125984"/>
  <pageSetup paperSize="8" scale="34" pageOrder="overThenDown" orientation="landscape" horizontalDpi="4294967295" verticalDpi="4294967295" r:id="rId1"/>
  <headerFooter>
    <oddFooter>Страница  &amp;P из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</vt:lpstr>
      <vt:lpstr>'1'!Область_печати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2026-03-03T16:50:32Z</dcterms:modified>
</cp:coreProperties>
</file>